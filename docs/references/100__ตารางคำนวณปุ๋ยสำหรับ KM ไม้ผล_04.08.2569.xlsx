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งานกลุ่ม วรป ปี 68\"/>
    </mc:Choice>
  </mc:AlternateContent>
  <xr:revisionPtr revIDLastSave="0" documentId="13_ncr:1_{86E897A3-C865-46BD-80F0-F56524DD1AB6}" xr6:coauthVersionLast="47" xr6:coauthVersionMax="47" xr10:uidLastSave="{00000000-0000-0000-0000-000000000000}"/>
  <bookViews>
    <workbookView xWindow="-108" yWindow="-108" windowWidth="23256" windowHeight="12456" firstSheet="2" activeTab="8" xr2:uid="{00000000-000D-0000-FFFF-FFFF00000000}"/>
  </bookViews>
  <sheets>
    <sheet name="ทุเรียน100%" sheetId="7" r:id="rId1"/>
    <sheet name="มังคุด100%" sheetId="8" r:id="rId2"/>
    <sheet name="เงาะ100%" sheetId="9" r:id="rId3"/>
    <sheet name="มะม่วง100%" sheetId="10" r:id="rId4"/>
    <sheet name="ลำไย100%" sheetId="11" r:id="rId5"/>
    <sheet name="ลิ้นจี่100%" sheetId="12" r:id="rId6"/>
    <sheet name="ส้ม100%" sheetId="13" r:id="rId7"/>
    <sheet name="มะพร้าว100%" sheetId="14" r:id="rId8"/>
    <sheet name="สับปะรด100%" sheetId="1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3" l="1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13" i="13"/>
  <c r="I14" i="12" l="1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13" i="12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13" i="11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13" i="10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13" i="9"/>
  <c r="I14" i="8" l="1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13" i="8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13" i="7"/>
  <c r="G13" i="13"/>
  <c r="H13" i="13"/>
  <c r="K13" i="13"/>
  <c r="J13" i="13"/>
  <c r="W31" i="11"/>
  <c r="W37" i="7"/>
  <c r="M39" i="15" l="1"/>
  <c r="M38" i="15"/>
  <c r="M37" i="15"/>
  <c r="M36" i="15"/>
  <c r="M35" i="15"/>
  <c r="M34" i="15"/>
  <c r="M33" i="15"/>
  <c r="M32" i="15"/>
  <c r="M31" i="15"/>
  <c r="M30" i="15"/>
  <c r="M29" i="15"/>
  <c r="M28" i="15"/>
  <c r="M27" i="15"/>
  <c r="M26" i="15"/>
  <c r="M25" i="15"/>
  <c r="M24" i="15"/>
  <c r="M23" i="15"/>
  <c r="M22" i="15"/>
  <c r="M21" i="15"/>
  <c r="M20" i="15"/>
  <c r="M19" i="15"/>
  <c r="M18" i="15"/>
  <c r="M17" i="15"/>
  <c r="M16" i="15"/>
  <c r="M15" i="15"/>
  <c r="M14" i="15"/>
  <c r="M13" i="15"/>
  <c r="O21" i="15"/>
  <c r="L39" i="15"/>
  <c r="L38" i="15"/>
  <c r="L37" i="15"/>
  <c r="L36" i="15"/>
  <c r="L35" i="15"/>
  <c r="L34" i="15"/>
  <c r="L33" i="15"/>
  <c r="L32" i="15"/>
  <c r="L31" i="15"/>
  <c r="L30" i="15"/>
  <c r="L29" i="15"/>
  <c r="L28" i="15"/>
  <c r="L27" i="15"/>
  <c r="L26" i="15"/>
  <c r="L25" i="15"/>
  <c r="L24" i="15"/>
  <c r="L23" i="15"/>
  <c r="L22" i="15"/>
  <c r="L21" i="15"/>
  <c r="L20" i="15"/>
  <c r="L19" i="15"/>
  <c r="L18" i="15"/>
  <c r="L17" i="15"/>
  <c r="L16" i="15"/>
  <c r="L15" i="15"/>
  <c r="L14" i="15"/>
  <c r="K39" i="15"/>
  <c r="J39" i="15" s="1"/>
  <c r="K38" i="15"/>
  <c r="J38" i="15" s="1"/>
  <c r="K37" i="15"/>
  <c r="J37" i="15" s="1"/>
  <c r="K36" i="15"/>
  <c r="J36" i="15" s="1"/>
  <c r="K35" i="15"/>
  <c r="J35" i="15" s="1"/>
  <c r="K34" i="15"/>
  <c r="J34" i="15" s="1"/>
  <c r="K33" i="15"/>
  <c r="J33" i="15" s="1"/>
  <c r="K32" i="15"/>
  <c r="J32" i="15" s="1"/>
  <c r="K31" i="15"/>
  <c r="J31" i="15" s="1"/>
  <c r="K30" i="15"/>
  <c r="J30" i="15" s="1"/>
  <c r="K29" i="15"/>
  <c r="J29" i="15" s="1"/>
  <c r="K28" i="15"/>
  <c r="J28" i="15" s="1"/>
  <c r="K27" i="15"/>
  <c r="J27" i="15" s="1"/>
  <c r="K26" i="15"/>
  <c r="J26" i="15" s="1"/>
  <c r="K25" i="15"/>
  <c r="J25" i="15" s="1"/>
  <c r="K24" i="15"/>
  <c r="J24" i="15" s="1"/>
  <c r="K23" i="15"/>
  <c r="J23" i="15" s="1"/>
  <c r="K22" i="15"/>
  <c r="J22" i="15" s="1"/>
  <c r="K21" i="15"/>
  <c r="J21" i="15" s="1"/>
  <c r="K20" i="15"/>
  <c r="J20" i="15" s="1"/>
  <c r="K19" i="15"/>
  <c r="J19" i="15" s="1"/>
  <c r="K18" i="15"/>
  <c r="J18" i="15" s="1"/>
  <c r="K17" i="15"/>
  <c r="J17" i="15" s="1"/>
  <c r="K16" i="15"/>
  <c r="J16" i="15" s="1"/>
  <c r="K15" i="15"/>
  <c r="J15" i="15" s="1"/>
  <c r="K14" i="15"/>
  <c r="J14" i="15" s="1"/>
  <c r="L13" i="15"/>
  <c r="K13" i="15"/>
  <c r="J13" i="15" s="1"/>
  <c r="Q13" i="15"/>
  <c r="O13" i="15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N39" i="14"/>
  <c r="M39" i="14" s="1"/>
  <c r="N38" i="14"/>
  <c r="M38" i="14" s="1"/>
  <c r="N37" i="14"/>
  <c r="M37" i="14" s="1"/>
  <c r="N36" i="14"/>
  <c r="M36" i="14" s="1"/>
  <c r="N35" i="14"/>
  <c r="M35" i="14" s="1"/>
  <c r="N34" i="14"/>
  <c r="N33" i="14"/>
  <c r="M33" i="14" s="1"/>
  <c r="N32" i="14"/>
  <c r="M32" i="14" s="1"/>
  <c r="N31" i="14"/>
  <c r="M31" i="14" s="1"/>
  <c r="N30" i="14"/>
  <c r="M30" i="14" s="1"/>
  <c r="N29" i="14"/>
  <c r="N28" i="14"/>
  <c r="N27" i="14"/>
  <c r="N26" i="14"/>
  <c r="N25" i="14"/>
  <c r="M25" i="14" s="1"/>
  <c r="N24" i="14"/>
  <c r="M24" i="14" s="1"/>
  <c r="N23" i="14"/>
  <c r="M23" i="14" s="1"/>
  <c r="N22" i="14"/>
  <c r="M22" i="14" s="1"/>
  <c r="N21" i="14"/>
  <c r="N20" i="14"/>
  <c r="N19" i="14"/>
  <c r="M19" i="14" s="1"/>
  <c r="N18" i="14"/>
  <c r="N17" i="14"/>
  <c r="M17" i="14" s="1"/>
  <c r="N16" i="14"/>
  <c r="M16" i="14" s="1"/>
  <c r="N15" i="14"/>
  <c r="M15" i="14" s="1"/>
  <c r="N14" i="14"/>
  <c r="M14" i="14" s="1"/>
  <c r="M34" i="14"/>
  <c r="M29" i="14"/>
  <c r="M28" i="14"/>
  <c r="M27" i="14"/>
  <c r="M26" i="14"/>
  <c r="M21" i="14"/>
  <c r="M20" i="14"/>
  <c r="M18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K39" i="14"/>
  <c r="J39" i="14" s="1"/>
  <c r="K38" i="14"/>
  <c r="J38" i="14" s="1"/>
  <c r="K37" i="14"/>
  <c r="J37" i="14" s="1"/>
  <c r="K36" i="14"/>
  <c r="J36" i="14" s="1"/>
  <c r="K35" i="14"/>
  <c r="J35" i="14" s="1"/>
  <c r="K34" i="14"/>
  <c r="K33" i="14"/>
  <c r="K32" i="14"/>
  <c r="J32" i="14" s="1"/>
  <c r="K31" i="14"/>
  <c r="K30" i="14"/>
  <c r="K29" i="14"/>
  <c r="K28" i="14"/>
  <c r="J28" i="14" s="1"/>
  <c r="K27" i="14"/>
  <c r="K26" i="14"/>
  <c r="K25" i="14"/>
  <c r="J25" i="14" s="1"/>
  <c r="K24" i="14"/>
  <c r="J24" i="14" s="1"/>
  <c r="K23" i="14"/>
  <c r="J23" i="14" s="1"/>
  <c r="K22" i="14"/>
  <c r="J22" i="14" s="1"/>
  <c r="K21" i="14"/>
  <c r="J21" i="14" s="1"/>
  <c r="K20" i="14"/>
  <c r="J20" i="14" s="1"/>
  <c r="K19" i="14"/>
  <c r="J19" i="14" s="1"/>
  <c r="K18" i="14"/>
  <c r="J18" i="14" s="1"/>
  <c r="K17" i="14"/>
  <c r="K16" i="14"/>
  <c r="J16" i="14" s="1"/>
  <c r="K15" i="14"/>
  <c r="K14" i="14"/>
  <c r="J34" i="14"/>
  <c r="J33" i="14"/>
  <c r="J31" i="14"/>
  <c r="J30" i="14"/>
  <c r="J29" i="14"/>
  <c r="J27" i="14"/>
  <c r="J26" i="14"/>
  <c r="J17" i="14"/>
  <c r="J15" i="14"/>
  <c r="J14" i="14"/>
  <c r="I39" i="14"/>
  <c r="I38" i="14"/>
  <c r="I37" i="14"/>
  <c r="I36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H39" i="14"/>
  <c r="G39" i="14" s="1"/>
  <c r="H38" i="14"/>
  <c r="G38" i="14" s="1"/>
  <c r="H37" i="14"/>
  <c r="H36" i="14"/>
  <c r="H35" i="14"/>
  <c r="H34" i="14"/>
  <c r="G34" i="14" s="1"/>
  <c r="H33" i="14"/>
  <c r="G33" i="14" s="1"/>
  <c r="H32" i="14"/>
  <c r="G32" i="14" s="1"/>
  <c r="H31" i="14"/>
  <c r="G31" i="14" s="1"/>
  <c r="H30" i="14"/>
  <c r="G30" i="14" s="1"/>
  <c r="H29" i="14"/>
  <c r="G29" i="14" s="1"/>
  <c r="H28" i="14"/>
  <c r="G28" i="14" s="1"/>
  <c r="H27" i="14"/>
  <c r="G27" i="14" s="1"/>
  <c r="H26" i="14"/>
  <c r="G26" i="14" s="1"/>
  <c r="H25" i="14"/>
  <c r="G25" i="14" s="1"/>
  <c r="H24" i="14"/>
  <c r="H23" i="14"/>
  <c r="G23" i="14" s="1"/>
  <c r="H22" i="14"/>
  <c r="G22" i="14" s="1"/>
  <c r="H21" i="14"/>
  <c r="H20" i="14"/>
  <c r="H19" i="14"/>
  <c r="H18" i="14"/>
  <c r="H17" i="14"/>
  <c r="G17" i="14" s="1"/>
  <c r="H16" i="14"/>
  <c r="H15" i="14"/>
  <c r="G15" i="14" s="1"/>
  <c r="H14" i="14"/>
  <c r="G14" i="14" s="1"/>
  <c r="G37" i="14"/>
  <c r="G36" i="14"/>
  <c r="G35" i="14"/>
  <c r="G24" i="14"/>
  <c r="G21" i="14"/>
  <c r="G20" i="14"/>
  <c r="G19" i="14"/>
  <c r="G18" i="14"/>
  <c r="G16" i="14"/>
  <c r="I13" i="14"/>
  <c r="G13" i="14"/>
  <c r="O13" i="14"/>
  <c r="M13" i="14"/>
  <c r="N13" i="14"/>
  <c r="L13" i="14"/>
  <c r="K13" i="14"/>
  <c r="J13" i="14" s="1"/>
  <c r="H13" i="14"/>
  <c r="W37" i="13"/>
  <c r="X34" i="13"/>
  <c r="W34" i="13"/>
  <c r="X31" i="13"/>
  <c r="W31" i="13"/>
  <c r="X28" i="13"/>
  <c r="W28" i="13"/>
  <c r="W25" i="13"/>
  <c r="W22" i="13"/>
  <c r="X19" i="13"/>
  <c r="Y13" i="13"/>
  <c r="X16" i="13"/>
  <c r="W16" i="13"/>
  <c r="X13" i="13"/>
  <c r="W13" i="13"/>
  <c r="W37" i="12"/>
  <c r="X34" i="12"/>
  <c r="W34" i="12"/>
  <c r="W31" i="12"/>
  <c r="X28" i="12"/>
  <c r="W28" i="12"/>
  <c r="W25" i="12"/>
  <c r="X22" i="12"/>
  <c r="W22" i="12"/>
  <c r="W19" i="12"/>
  <c r="Y16" i="12"/>
  <c r="X16" i="12"/>
  <c r="W16" i="12"/>
  <c r="Y15" i="12"/>
  <c r="Y14" i="12"/>
  <c r="Y13" i="12"/>
  <c r="X13" i="12"/>
  <c r="W13" i="12"/>
  <c r="Y19" i="11"/>
  <c r="Y15" i="11"/>
  <c r="Y14" i="11"/>
  <c r="Y13" i="11"/>
  <c r="U12" i="11"/>
  <c r="J12" i="11"/>
  <c r="W37" i="10"/>
  <c r="W34" i="10"/>
  <c r="W31" i="10"/>
  <c r="X28" i="10"/>
  <c r="W28" i="10"/>
  <c r="X25" i="10"/>
  <c r="W25" i="10"/>
  <c r="W22" i="10"/>
  <c r="X19" i="10"/>
  <c r="W19" i="10"/>
  <c r="W16" i="10"/>
  <c r="Y15" i="10"/>
  <c r="Y14" i="10"/>
  <c r="X13" i="10"/>
  <c r="W13" i="10"/>
  <c r="K12" i="10"/>
  <c r="M12" i="10"/>
  <c r="O12" i="10"/>
  <c r="Q12" i="10"/>
  <c r="S12" i="10"/>
  <c r="T12" i="10"/>
  <c r="H12" i="10"/>
  <c r="J10" i="10"/>
  <c r="U10" i="10"/>
  <c r="T10" i="10"/>
  <c r="S10" i="10"/>
  <c r="R10" i="10"/>
  <c r="Q10" i="10"/>
  <c r="P10" i="10"/>
  <c r="O10" i="10"/>
  <c r="N10" i="10"/>
  <c r="M10" i="10"/>
  <c r="L10" i="10"/>
  <c r="K10" i="10"/>
  <c r="U7" i="10"/>
  <c r="T7" i="10"/>
  <c r="S7" i="10"/>
  <c r="R7" i="10"/>
  <c r="Q7" i="10"/>
  <c r="P7" i="10"/>
  <c r="O7" i="10"/>
  <c r="N7" i="10"/>
  <c r="M7" i="10"/>
  <c r="L7" i="10"/>
  <c r="K7" i="10"/>
  <c r="J7" i="10"/>
  <c r="G10" i="12"/>
  <c r="Y15" i="9"/>
  <c r="X13" i="9"/>
  <c r="Y14" i="9"/>
  <c r="Y13" i="9"/>
  <c r="J12" i="9"/>
  <c r="X14" i="9"/>
  <c r="X15" i="9"/>
  <c r="Y16" i="9"/>
  <c r="X17" i="9"/>
  <c r="Y18" i="9"/>
  <c r="Y20" i="9"/>
  <c r="X20" i="9"/>
  <c r="X21" i="9"/>
  <c r="X22" i="9"/>
  <c r="X23" i="9"/>
  <c r="X24" i="9"/>
  <c r="Y24" i="9"/>
  <c r="X25" i="9"/>
  <c r="Y26" i="9"/>
  <c r="X26" i="9"/>
  <c r="X27" i="9"/>
  <c r="Y28" i="9"/>
  <c r="X28" i="9"/>
  <c r="X29" i="9"/>
  <c r="Y30" i="9"/>
  <c r="X31" i="9"/>
  <c r="Y32" i="9"/>
  <c r="X32" i="9"/>
  <c r="X33" i="9"/>
  <c r="Y34" i="9"/>
  <c r="X34" i="9"/>
  <c r="X35" i="9"/>
  <c r="Y36" i="9"/>
  <c r="X37" i="9"/>
  <c r="Y38" i="9"/>
  <c r="W37" i="8"/>
  <c r="W34" i="8"/>
  <c r="W31" i="8"/>
  <c r="W28" i="8"/>
  <c r="W25" i="8"/>
  <c r="X16" i="8"/>
  <c r="X19" i="8"/>
  <c r="W22" i="8"/>
  <c r="X22" i="8"/>
  <c r="Y13" i="8"/>
  <c r="W19" i="8"/>
  <c r="Y16" i="8"/>
  <c r="W16" i="8"/>
  <c r="X13" i="8"/>
  <c r="W13" i="8"/>
  <c r="Y14" i="8"/>
  <c r="X15" i="8"/>
  <c r="X17" i="8"/>
  <c r="Y18" i="8"/>
  <c r="W20" i="8"/>
  <c r="Y20" i="8"/>
  <c r="Y22" i="8"/>
  <c r="X23" i="8"/>
  <c r="W24" i="8"/>
  <c r="X25" i="8"/>
  <c r="W26" i="8"/>
  <c r="Y26" i="8"/>
  <c r="X27" i="8"/>
  <c r="Y28" i="8"/>
  <c r="X29" i="8"/>
  <c r="W30" i="8"/>
  <c r="Y30" i="8"/>
  <c r="X31" i="8"/>
  <c r="W32" i="8"/>
  <c r="Y32" i="8"/>
  <c r="X33" i="8"/>
  <c r="Y34" i="8"/>
  <c r="X35" i="8"/>
  <c r="W36" i="8"/>
  <c r="Y36" i="8"/>
  <c r="X37" i="8"/>
  <c r="W38" i="8"/>
  <c r="X39" i="8"/>
  <c r="Y13" i="7"/>
  <c r="Y16" i="7"/>
  <c r="Y22" i="7"/>
  <c r="Y15" i="7"/>
  <c r="Y14" i="7"/>
  <c r="U12" i="7"/>
  <c r="T12" i="7"/>
  <c r="S12" i="7"/>
  <c r="R12" i="7"/>
  <c r="Q12" i="7"/>
  <c r="P12" i="7"/>
  <c r="O12" i="7"/>
  <c r="M12" i="7"/>
  <c r="K12" i="7"/>
  <c r="U12" i="13"/>
  <c r="T12" i="13"/>
  <c r="S12" i="13"/>
  <c r="R12" i="13"/>
  <c r="Q12" i="13"/>
  <c r="P12" i="13"/>
  <c r="O12" i="13"/>
  <c r="M12" i="13"/>
  <c r="K12" i="13"/>
  <c r="U12" i="12"/>
  <c r="T12" i="12"/>
  <c r="S12" i="12"/>
  <c r="G12" i="12" s="1"/>
  <c r="R12" i="12"/>
  <c r="Q12" i="12"/>
  <c r="O12" i="12"/>
  <c r="M12" i="12"/>
  <c r="K12" i="12"/>
  <c r="J12" i="12"/>
  <c r="T12" i="11"/>
  <c r="S12" i="11"/>
  <c r="R12" i="11"/>
  <c r="Q12" i="11"/>
  <c r="O12" i="11"/>
  <c r="M12" i="11"/>
  <c r="K12" i="11"/>
  <c r="U12" i="9"/>
  <c r="T12" i="9"/>
  <c r="S12" i="9"/>
  <c r="R12" i="9"/>
  <c r="Q12" i="9"/>
  <c r="O12" i="9"/>
  <c r="M12" i="9"/>
  <c r="K12" i="9"/>
  <c r="J12" i="7"/>
  <c r="I10" i="9"/>
  <c r="H10" i="9"/>
  <c r="F11" i="13"/>
  <c r="E11" i="13"/>
  <c r="D11" i="13"/>
  <c r="F8" i="13"/>
  <c r="E8" i="13"/>
  <c r="D8" i="13"/>
  <c r="F11" i="12"/>
  <c r="I10" i="12" s="1"/>
  <c r="E11" i="12"/>
  <c r="H10" i="12" s="1"/>
  <c r="D11" i="12"/>
  <c r="F8" i="12"/>
  <c r="E8" i="12"/>
  <c r="D8" i="12"/>
  <c r="F11" i="11"/>
  <c r="E11" i="11"/>
  <c r="D11" i="11"/>
  <c r="G10" i="11" s="1"/>
  <c r="F8" i="11"/>
  <c r="I10" i="11" s="1"/>
  <c r="E8" i="11"/>
  <c r="D8" i="11"/>
  <c r="F11" i="10"/>
  <c r="E11" i="10"/>
  <c r="D11" i="10"/>
  <c r="F8" i="10"/>
  <c r="E8" i="10"/>
  <c r="D8" i="10"/>
  <c r="F11" i="9"/>
  <c r="E11" i="9"/>
  <c r="D11" i="9"/>
  <c r="F8" i="9"/>
  <c r="E8" i="9"/>
  <c r="D8" i="9"/>
  <c r="G10" i="9" s="1"/>
  <c r="F11" i="8"/>
  <c r="E11" i="8"/>
  <c r="D11" i="8"/>
  <c r="G11" i="8" s="1"/>
  <c r="F8" i="8"/>
  <c r="I10" i="8" s="1"/>
  <c r="E8" i="8"/>
  <c r="H10" i="8" s="1"/>
  <c r="D8" i="8"/>
  <c r="D8" i="7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0" i="15"/>
  <c r="O19" i="15"/>
  <c r="O18" i="15"/>
  <c r="O17" i="15"/>
  <c r="O16" i="15"/>
  <c r="O15" i="15"/>
  <c r="O14" i="15"/>
  <c r="O9" i="15"/>
  <c r="O10" i="15" s="1"/>
  <c r="N9" i="15"/>
  <c r="N10" i="15" s="1"/>
  <c r="M9" i="15"/>
  <c r="M10" i="15" s="1"/>
  <c r="L9" i="15"/>
  <c r="L10" i="15" s="1"/>
  <c r="K9" i="15"/>
  <c r="K10" i="15" s="1"/>
  <c r="J9" i="15"/>
  <c r="J10" i="15" s="1"/>
  <c r="O6" i="15"/>
  <c r="O7" i="15" s="1"/>
  <c r="N6" i="15"/>
  <c r="N7" i="15" s="1"/>
  <c r="M6" i="15"/>
  <c r="M7" i="15" s="1"/>
  <c r="L6" i="15"/>
  <c r="L7" i="15" s="1"/>
  <c r="K6" i="15"/>
  <c r="K7" i="15" s="1"/>
  <c r="J6" i="15"/>
  <c r="J7" i="15" s="1"/>
  <c r="H6" i="15"/>
  <c r="I39" i="15"/>
  <c r="H39" i="15"/>
  <c r="G39" i="15" s="1"/>
  <c r="I38" i="15"/>
  <c r="H38" i="15"/>
  <c r="G38" i="15" s="1"/>
  <c r="I37" i="15"/>
  <c r="H37" i="15"/>
  <c r="I36" i="15"/>
  <c r="H36" i="15"/>
  <c r="I35" i="15"/>
  <c r="H35" i="15"/>
  <c r="G35" i="15" s="1"/>
  <c r="I34" i="15"/>
  <c r="H34" i="15"/>
  <c r="G34" i="15"/>
  <c r="I33" i="15"/>
  <c r="H33" i="15"/>
  <c r="I32" i="15"/>
  <c r="H32" i="15"/>
  <c r="I31" i="15"/>
  <c r="H31" i="15"/>
  <c r="G31" i="15"/>
  <c r="I30" i="15"/>
  <c r="H30" i="15"/>
  <c r="G30" i="15"/>
  <c r="I29" i="15"/>
  <c r="H29" i="15"/>
  <c r="I28" i="15"/>
  <c r="H28" i="15"/>
  <c r="I27" i="15"/>
  <c r="H27" i="15"/>
  <c r="G27" i="15" s="1"/>
  <c r="I26" i="15"/>
  <c r="H26" i="15"/>
  <c r="G26" i="15" s="1"/>
  <c r="I25" i="15"/>
  <c r="H25" i="15"/>
  <c r="G25" i="15" s="1"/>
  <c r="I24" i="15"/>
  <c r="H24" i="15"/>
  <c r="I23" i="15"/>
  <c r="H23" i="15"/>
  <c r="G23" i="15"/>
  <c r="I22" i="15"/>
  <c r="H22" i="15"/>
  <c r="G22" i="15" s="1"/>
  <c r="I21" i="15"/>
  <c r="H21" i="15"/>
  <c r="G21" i="15" s="1"/>
  <c r="I20" i="15"/>
  <c r="H20" i="15"/>
  <c r="I19" i="15"/>
  <c r="H19" i="15"/>
  <c r="G19" i="15" s="1"/>
  <c r="I18" i="15"/>
  <c r="H18" i="15"/>
  <c r="G18" i="15" s="1"/>
  <c r="I17" i="15"/>
  <c r="H17" i="15"/>
  <c r="G17" i="15" s="1"/>
  <c r="I16" i="15"/>
  <c r="H16" i="15"/>
  <c r="I15" i="15"/>
  <c r="H15" i="15"/>
  <c r="G15" i="15" s="1"/>
  <c r="I14" i="15"/>
  <c r="H14" i="15"/>
  <c r="G14" i="15" s="1"/>
  <c r="I13" i="15"/>
  <c r="H13" i="15"/>
  <c r="G13" i="15" s="1"/>
  <c r="F11" i="15"/>
  <c r="E11" i="15"/>
  <c r="D11" i="15"/>
  <c r="H9" i="15"/>
  <c r="G9" i="15"/>
  <c r="F8" i="15"/>
  <c r="E8" i="15"/>
  <c r="D8" i="15"/>
  <c r="O9" i="14"/>
  <c r="O10" i="14" s="1"/>
  <c r="N9" i="14"/>
  <c r="N10" i="14" s="1"/>
  <c r="M9" i="14"/>
  <c r="L9" i="14"/>
  <c r="K9" i="14"/>
  <c r="K10" i="14" s="1"/>
  <c r="J9" i="14"/>
  <c r="J10" i="14" s="1"/>
  <c r="O6" i="14"/>
  <c r="N6" i="14"/>
  <c r="M6" i="14"/>
  <c r="L6" i="14"/>
  <c r="L7" i="14" s="1"/>
  <c r="K6" i="14"/>
  <c r="K7" i="14" s="1"/>
  <c r="J6" i="14"/>
  <c r="J7" i="14"/>
  <c r="J12" i="14" s="1"/>
  <c r="F11" i="14"/>
  <c r="E11" i="14"/>
  <c r="D11" i="14"/>
  <c r="F8" i="14"/>
  <c r="E8" i="14"/>
  <c r="D8" i="14"/>
  <c r="M10" i="14"/>
  <c r="L10" i="14"/>
  <c r="H9" i="14"/>
  <c r="G9" i="14"/>
  <c r="O7" i="14"/>
  <c r="N7" i="14"/>
  <c r="M7" i="14"/>
  <c r="H6" i="14"/>
  <c r="H39" i="13"/>
  <c r="H38" i="13"/>
  <c r="G38" i="13" s="1"/>
  <c r="H37" i="13"/>
  <c r="G37" i="13" s="1"/>
  <c r="H36" i="13"/>
  <c r="G36" i="13" s="1"/>
  <c r="H35" i="13"/>
  <c r="H34" i="13"/>
  <c r="G34" i="13" s="1"/>
  <c r="H33" i="13"/>
  <c r="G33" i="13"/>
  <c r="H32" i="13"/>
  <c r="G32" i="13" s="1"/>
  <c r="H31" i="13"/>
  <c r="H30" i="13"/>
  <c r="G30" i="13" s="1"/>
  <c r="H29" i="13"/>
  <c r="G29" i="13"/>
  <c r="H28" i="13"/>
  <c r="G28" i="13" s="1"/>
  <c r="H27" i="13"/>
  <c r="H26" i="13"/>
  <c r="G26" i="13"/>
  <c r="H25" i="13"/>
  <c r="G25" i="13" s="1"/>
  <c r="H24" i="13"/>
  <c r="G24" i="13" s="1"/>
  <c r="H23" i="13"/>
  <c r="H22" i="13"/>
  <c r="G22" i="13" s="1"/>
  <c r="H21" i="13"/>
  <c r="G21" i="13"/>
  <c r="H20" i="13"/>
  <c r="G20" i="13" s="1"/>
  <c r="H19" i="13"/>
  <c r="H18" i="13"/>
  <c r="G18" i="13" s="1"/>
  <c r="H17" i="13"/>
  <c r="G17" i="13" s="1"/>
  <c r="H16" i="13"/>
  <c r="G16" i="13"/>
  <c r="H15" i="13"/>
  <c r="G15" i="13" s="1"/>
  <c r="H14" i="13"/>
  <c r="G14" i="13" s="1"/>
  <c r="U10" i="13"/>
  <c r="T10" i="13"/>
  <c r="S10" i="13"/>
  <c r="R10" i="13"/>
  <c r="Q10" i="13"/>
  <c r="P10" i="13"/>
  <c r="O10" i="13"/>
  <c r="N10" i="13"/>
  <c r="M10" i="13"/>
  <c r="L10" i="13"/>
  <c r="K10" i="13"/>
  <c r="J10" i="13"/>
  <c r="H9" i="13"/>
  <c r="G9" i="13"/>
  <c r="U7" i="13"/>
  <c r="T7" i="13"/>
  <c r="S7" i="13"/>
  <c r="R7" i="13"/>
  <c r="Q7" i="13"/>
  <c r="P7" i="13"/>
  <c r="O7" i="13"/>
  <c r="N7" i="13"/>
  <c r="M7" i="13"/>
  <c r="L7" i="13"/>
  <c r="K7" i="13"/>
  <c r="J7" i="13"/>
  <c r="H6" i="13"/>
  <c r="H39" i="12"/>
  <c r="H38" i="12"/>
  <c r="G38" i="12"/>
  <c r="H37" i="12"/>
  <c r="G37" i="12"/>
  <c r="H36" i="12"/>
  <c r="G36" i="12"/>
  <c r="H35" i="12"/>
  <c r="H34" i="12"/>
  <c r="G34" i="12" s="1"/>
  <c r="H33" i="12"/>
  <c r="G33" i="12" s="1"/>
  <c r="H32" i="12"/>
  <c r="G32" i="12"/>
  <c r="H31" i="12"/>
  <c r="H30" i="12"/>
  <c r="H29" i="12"/>
  <c r="G29" i="12" s="1"/>
  <c r="H28" i="12"/>
  <c r="G28" i="12" s="1"/>
  <c r="H27" i="12"/>
  <c r="H26" i="12"/>
  <c r="H25" i="12"/>
  <c r="G25" i="12" s="1"/>
  <c r="H24" i="12"/>
  <c r="G24" i="12" s="1"/>
  <c r="H23" i="12"/>
  <c r="H22" i="12"/>
  <c r="H21" i="12"/>
  <c r="G21" i="12" s="1"/>
  <c r="H20" i="12"/>
  <c r="G20" i="12" s="1"/>
  <c r="H19" i="12"/>
  <c r="H18" i="12"/>
  <c r="H17" i="12"/>
  <c r="G17" i="12" s="1"/>
  <c r="H16" i="12"/>
  <c r="G16" i="12"/>
  <c r="H15" i="12"/>
  <c r="G15" i="12" s="1"/>
  <c r="H14" i="12"/>
  <c r="G14" i="12"/>
  <c r="H13" i="12"/>
  <c r="G13" i="12" s="1"/>
  <c r="U10" i="12"/>
  <c r="T10" i="12"/>
  <c r="E10" i="12" s="1"/>
  <c r="S10" i="12"/>
  <c r="R10" i="12"/>
  <c r="Q10" i="12"/>
  <c r="P10" i="12"/>
  <c r="O10" i="12"/>
  <c r="N10" i="12"/>
  <c r="M10" i="12"/>
  <c r="L10" i="12"/>
  <c r="K10" i="12"/>
  <c r="J10" i="12"/>
  <c r="H9" i="12"/>
  <c r="G9" i="12"/>
  <c r="U7" i="12"/>
  <c r="T7" i="12"/>
  <c r="S7" i="12"/>
  <c r="R7" i="12"/>
  <c r="Q7" i="12"/>
  <c r="P7" i="12"/>
  <c r="O7" i="12"/>
  <c r="N7" i="12"/>
  <c r="M7" i="12"/>
  <c r="L7" i="12"/>
  <c r="K7" i="12"/>
  <c r="J7" i="12"/>
  <c r="H6" i="12"/>
  <c r="H39" i="11"/>
  <c r="H38" i="11"/>
  <c r="G38" i="11" s="1"/>
  <c r="H37" i="11"/>
  <c r="G37" i="11"/>
  <c r="H36" i="11"/>
  <c r="G36" i="11" s="1"/>
  <c r="H35" i="11"/>
  <c r="H34" i="11"/>
  <c r="G34" i="11"/>
  <c r="H33" i="11"/>
  <c r="G33" i="11" s="1"/>
  <c r="H32" i="11"/>
  <c r="G32" i="11"/>
  <c r="H31" i="11"/>
  <c r="H30" i="11"/>
  <c r="G30" i="11" s="1"/>
  <c r="H29" i="11"/>
  <c r="G29" i="11" s="1"/>
  <c r="H28" i="11"/>
  <c r="G28" i="11" s="1"/>
  <c r="H27" i="11"/>
  <c r="H26" i="11"/>
  <c r="H25" i="11"/>
  <c r="G25" i="11"/>
  <c r="H24" i="11"/>
  <c r="G24" i="11" s="1"/>
  <c r="H23" i="11"/>
  <c r="G23" i="11" s="1"/>
  <c r="H22" i="11"/>
  <c r="H21" i="11"/>
  <c r="G21" i="11"/>
  <c r="H20" i="11"/>
  <c r="G20" i="11" s="1"/>
  <c r="H19" i="11"/>
  <c r="G19" i="11" s="1"/>
  <c r="H18" i="11"/>
  <c r="H17" i="11"/>
  <c r="G17" i="11" s="1"/>
  <c r="H16" i="11"/>
  <c r="H15" i="11"/>
  <c r="H14" i="11"/>
  <c r="G14" i="11" s="1"/>
  <c r="H13" i="11"/>
  <c r="G13" i="11" s="1"/>
  <c r="U10" i="11"/>
  <c r="T10" i="11"/>
  <c r="S10" i="11"/>
  <c r="R10" i="11"/>
  <c r="Q10" i="11"/>
  <c r="P10" i="11"/>
  <c r="O10" i="11"/>
  <c r="N10" i="11"/>
  <c r="M10" i="11"/>
  <c r="L10" i="11"/>
  <c r="K10" i="11"/>
  <c r="J10" i="11"/>
  <c r="H9" i="11"/>
  <c r="G9" i="11"/>
  <c r="U7" i="11"/>
  <c r="T7" i="11"/>
  <c r="S7" i="11"/>
  <c r="R7" i="11"/>
  <c r="Q7" i="11"/>
  <c r="P7" i="11"/>
  <c r="O7" i="11"/>
  <c r="N7" i="11"/>
  <c r="M7" i="11"/>
  <c r="L7" i="11"/>
  <c r="K7" i="11"/>
  <c r="J7" i="11"/>
  <c r="H6" i="11"/>
  <c r="H39" i="10"/>
  <c r="G39" i="10" s="1"/>
  <c r="H38" i="10"/>
  <c r="G38" i="10" s="1"/>
  <c r="H37" i="10"/>
  <c r="H36" i="10"/>
  <c r="G36" i="10"/>
  <c r="H35" i="10"/>
  <c r="G35" i="10" s="1"/>
  <c r="H34" i="10"/>
  <c r="G34" i="10" s="1"/>
  <c r="H33" i="10"/>
  <c r="H32" i="10"/>
  <c r="G32" i="10" s="1"/>
  <c r="H31" i="10"/>
  <c r="G31" i="10" s="1"/>
  <c r="H30" i="10"/>
  <c r="G30" i="10"/>
  <c r="H29" i="10"/>
  <c r="H28" i="10"/>
  <c r="G28" i="10" s="1"/>
  <c r="H27" i="10"/>
  <c r="G27" i="10" s="1"/>
  <c r="H26" i="10"/>
  <c r="G26" i="10" s="1"/>
  <c r="H25" i="10"/>
  <c r="H24" i="10"/>
  <c r="G24" i="10"/>
  <c r="H23" i="10"/>
  <c r="G23" i="10" s="1"/>
  <c r="H22" i="10"/>
  <c r="G22" i="10" s="1"/>
  <c r="H21" i="10"/>
  <c r="H20" i="10"/>
  <c r="G20" i="10" s="1"/>
  <c r="H19" i="10"/>
  <c r="G19" i="10" s="1"/>
  <c r="H18" i="10"/>
  <c r="G18" i="10" s="1"/>
  <c r="H17" i="10"/>
  <c r="H16" i="10"/>
  <c r="G16" i="10" s="1"/>
  <c r="H15" i="10"/>
  <c r="G15" i="10" s="1"/>
  <c r="H14" i="10"/>
  <c r="G14" i="10"/>
  <c r="H13" i="10"/>
  <c r="G13" i="10" s="1"/>
  <c r="D10" i="10"/>
  <c r="H9" i="10"/>
  <c r="G9" i="10"/>
  <c r="H6" i="10"/>
  <c r="Y39" i="9"/>
  <c r="X39" i="9"/>
  <c r="H39" i="9"/>
  <c r="G39" i="9" s="1"/>
  <c r="X38" i="9"/>
  <c r="H38" i="9"/>
  <c r="G38" i="9" s="1"/>
  <c r="Y37" i="9"/>
  <c r="H37" i="9"/>
  <c r="X36" i="9"/>
  <c r="H36" i="9"/>
  <c r="G36" i="9" s="1"/>
  <c r="Y35" i="9"/>
  <c r="H35" i="9"/>
  <c r="G35" i="9" s="1"/>
  <c r="H34" i="9"/>
  <c r="G34" i="9" s="1"/>
  <c r="Y33" i="9"/>
  <c r="H33" i="9"/>
  <c r="H32" i="9"/>
  <c r="G32" i="9"/>
  <c r="Y31" i="9"/>
  <c r="H31" i="9"/>
  <c r="G31" i="9" s="1"/>
  <c r="X30" i="9"/>
  <c r="H30" i="9"/>
  <c r="G30" i="9"/>
  <c r="Y29" i="9"/>
  <c r="H29" i="9"/>
  <c r="H28" i="9"/>
  <c r="G28" i="9" s="1"/>
  <c r="Y27" i="9"/>
  <c r="H27" i="9"/>
  <c r="G27" i="9" s="1"/>
  <c r="H26" i="9"/>
  <c r="G26" i="9" s="1"/>
  <c r="Y25" i="9"/>
  <c r="H25" i="9"/>
  <c r="H24" i="9"/>
  <c r="G24" i="9"/>
  <c r="Y23" i="9"/>
  <c r="H23" i="9"/>
  <c r="G23" i="9" s="1"/>
  <c r="Y22" i="9"/>
  <c r="H22" i="9"/>
  <c r="G22" i="9" s="1"/>
  <c r="Y21" i="9"/>
  <c r="H21" i="9"/>
  <c r="H20" i="9"/>
  <c r="G20" i="9" s="1"/>
  <c r="Y19" i="9"/>
  <c r="X19" i="9"/>
  <c r="H19" i="9"/>
  <c r="G19" i="9" s="1"/>
  <c r="X18" i="9"/>
  <c r="H18" i="9"/>
  <c r="Y17" i="9"/>
  <c r="H17" i="9"/>
  <c r="X16" i="9"/>
  <c r="H16" i="9"/>
  <c r="G16" i="9" s="1"/>
  <c r="H15" i="9"/>
  <c r="G15" i="9" s="1"/>
  <c r="H14" i="9"/>
  <c r="G14" i="9"/>
  <c r="H13" i="9"/>
  <c r="U10" i="9"/>
  <c r="T10" i="9"/>
  <c r="S10" i="9"/>
  <c r="R10" i="9"/>
  <c r="Q10" i="9"/>
  <c r="P10" i="9"/>
  <c r="O10" i="9"/>
  <c r="N10" i="9"/>
  <c r="M10" i="9"/>
  <c r="L10" i="9"/>
  <c r="K10" i="9"/>
  <c r="J10" i="9"/>
  <c r="H9" i="9"/>
  <c r="G9" i="9"/>
  <c r="U7" i="9"/>
  <c r="T7" i="9"/>
  <c r="S7" i="9"/>
  <c r="R7" i="9"/>
  <c r="Q7" i="9"/>
  <c r="P7" i="9"/>
  <c r="O7" i="9"/>
  <c r="N7" i="9"/>
  <c r="M7" i="9"/>
  <c r="L7" i="9"/>
  <c r="K7" i="9"/>
  <c r="J7" i="9"/>
  <c r="D7" i="9" s="1"/>
  <c r="H6" i="9"/>
  <c r="Y39" i="8"/>
  <c r="W39" i="8"/>
  <c r="H39" i="8"/>
  <c r="G39" i="8" s="1"/>
  <c r="Y38" i="8"/>
  <c r="X38" i="8"/>
  <c r="H38" i="8"/>
  <c r="Y37" i="8"/>
  <c r="H37" i="8"/>
  <c r="X36" i="8"/>
  <c r="H36" i="8"/>
  <c r="G36" i="8" s="1"/>
  <c r="Y35" i="8"/>
  <c r="W35" i="8"/>
  <c r="H35" i="8"/>
  <c r="G35" i="8" s="1"/>
  <c r="X34" i="8"/>
  <c r="H34" i="8"/>
  <c r="G34" i="8" s="1"/>
  <c r="Y33" i="8"/>
  <c r="W33" i="8"/>
  <c r="H33" i="8"/>
  <c r="X32" i="8"/>
  <c r="H32" i="8"/>
  <c r="G32" i="8" s="1"/>
  <c r="Y31" i="8"/>
  <c r="H31" i="8"/>
  <c r="G31" i="8" s="1"/>
  <c r="X30" i="8"/>
  <c r="H30" i="8"/>
  <c r="G30" i="8" s="1"/>
  <c r="Y29" i="8"/>
  <c r="W29" i="8"/>
  <c r="H29" i="8"/>
  <c r="X28" i="8"/>
  <c r="H28" i="8"/>
  <c r="G28" i="8" s="1"/>
  <c r="Y27" i="8"/>
  <c r="W27" i="8"/>
  <c r="H27" i="8"/>
  <c r="G27" i="8" s="1"/>
  <c r="X26" i="8"/>
  <c r="H26" i="8"/>
  <c r="G26" i="8" s="1"/>
  <c r="Y25" i="8"/>
  <c r="H25" i="8"/>
  <c r="Y24" i="8"/>
  <c r="X24" i="8"/>
  <c r="H24" i="8"/>
  <c r="G24" i="8" s="1"/>
  <c r="Y23" i="8"/>
  <c r="W23" i="8"/>
  <c r="H23" i="8"/>
  <c r="G23" i="8" s="1"/>
  <c r="H22" i="8"/>
  <c r="G22" i="8" s="1"/>
  <c r="Y21" i="8"/>
  <c r="X21" i="8"/>
  <c r="W21" i="8"/>
  <c r="H21" i="8"/>
  <c r="X20" i="8"/>
  <c r="H20" i="8"/>
  <c r="G20" i="8" s="1"/>
  <c r="Y19" i="8"/>
  <c r="H19" i="8"/>
  <c r="G19" i="8" s="1"/>
  <c r="X18" i="8"/>
  <c r="W18" i="8"/>
  <c r="H18" i="8"/>
  <c r="G18" i="8" s="1"/>
  <c r="Y17" i="8"/>
  <c r="W17" i="8"/>
  <c r="H17" i="8"/>
  <c r="H16" i="8"/>
  <c r="G16" i="8" s="1"/>
  <c r="Y15" i="8"/>
  <c r="W15" i="8"/>
  <c r="H15" i="8"/>
  <c r="G15" i="8" s="1"/>
  <c r="X14" i="8"/>
  <c r="H14" i="8"/>
  <c r="G14" i="8" s="1"/>
  <c r="H13" i="8"/>
  <c r="G13" i="8" s="1"/>
  <c r="U10" i="8"/>
  <c r="T10" i="8"/>
  <c r="S10" i="8"/>
  <c r="R10" i="8"/>
  <c r="Q10" i="8"/>
  <c r="P10" i="8"/>
  <c r="O10" i="8"/>
  <c r="N10" i="8"/>
  <c r="M10" i="8"/>
  <c r="M12" i="8" s="1"/>
  <c r="L10" i="8"/>
  <c r="K10" i="8"/>
  <c r="J10" i="8"/>
  <c r="H9" i="8"/>
  <c r="G9" i="8"/>
  <c r="U7" i="8"/>
  <c r="T7" i="8"/>
  <c r="T12" i="8" s="1"/>
  <c r="S7" i="8"/>
  <c r="S12" i="8" s="1"/>
  <c r="R7" i="8"/>
  <c r="R12" i="8" s="1"/>
  <c r="Q7" i="8"/>
  <c r="Q12" i="8" s="1"/>
  <c r="P7" i="8"/>
  <c r="P12" i="8" s="1"/>
  <c r="O7" i="8"/>
  <c r="O12" i="8" s="1"/>
  <c r="N7" i="8"/>
  <c r="N12" i="8" s="1"/>
  <c r="M7" i="8"/>
  <c r="L7" i="8"/>
  <c r="K7" i="8"/>
  <c r="J7" i="8"/>
  <c r="H6" i="8"/>
  <c r="H39" i="7"/>
  <c r="G39" i="7" s="1"/>
  <c r="H38" i="7"/>
  <c r="G38" i="7" s="1"/>
  <c r="H37" i="7"/>
  <c r="G37" i="7" s="1"/>
  <c r="H36" i="7"/>
  <c r="H35" i="7"/>
  <c r="H34" i="7"/>
  <c r="G34" i="7" s="1"/>
  <c r="H33" i="7"/>
  <c r="H32" i="7"/>
  <c r="H31" i="7"/>
  <c r="H30" i="7"/>
  <c r="G30" i="7" s="1"/>
  <c r="H29" i="7"/>
  <c r="G29" i="7" s="1"/>
  <c r="H28" i="7"/>
  <c r="H27" i="7"/>
  <c r="H26" i="7"/>
  <c r="G26" i="7" s="1"/>
  <c r="H25" i="7"/>
  <c r="G25" i="7" s="1"/>
  <c r="H24" i="7"/>
  <c r="G24" i="7" s="1"/>
  <c r="H23" i="7"/>
  <c r="G23" i="7" s="1"/>
  <c r="H22" i="7"/>
  <c r="G22" i="7" s="1"/>
  <c r="H21" i="7"/>
  <c r="G21" i="7" s="1"/>
  <c r="H20" i="7"/>
  <c r="H19" i="7"/>
  <c r="H18" i="7"/>
  <c r="G18" i="7" s="1"/>
  <c r="H17" i="7"/>
  <c r="H16" i="7"/>
  <c r="G16" i="7" s="1"/>
  <c r="H15" i="7"/>
  <c r="G15" i="7" s="1"/>
  <c r="H14" i="7"/>
  <c r="G14" i="7" s="1"/>
  <c r="H13" i="7"/>
  <c r="G13" i="7" s="1"/>
  <c r="G31" i="7"/>
  <c r="G35" i="7"/>
  <c r="G27" i="7"/>
  <c r="G19" i="7"/>
  <c r="H6" i="7"/>
  <c r="D11" i="7"/>
  <c r="P10" i="7"/>
  <c r="G9" i="7"/>
  <c r="F11" i="7"/>
  <c r="E11" i="7"/>
  <c r="U10" i="7"/>
  <c r="T10" i="7"/>
  <c r="S10" i="7"/>
  <c r="R10" i="7"/>
  <c r="Q10" i="7"/>
  <c r="O10" i="7"/>
  <c r="N10" i="7"/>
  <c r="M10" i="7"/>
  <c r="L10" i="7"/>
  <c r="K10" i="7"/>
  <c r="J10" i="7"/>
  <c r="H9" i="7"/>
  <c r="F8" i="7"/>
  <c r="I10" i="7" s="1"/>
  <c r="E8" i="7"/>
  <c r="U7" i="7"/>
  <c r="T7" i="7"/>
  <c r="S7" i="7"/>
  <c r="R7" i="7"/>
  <c r="Q7" i="7"/>
  <c r="P7" i="7"/>
  <c r="O7" i="7"/>
  <c r="N7" i="7"/>
  <c r="M7" i="7"/>
  <c r="L7" i="7"/>
  <c r="K7" i="7"/>
  <c r="J7" i="7"/>
  <c r="J12" i="15" l="1"/>
  <c r="H10" i="13"/>
  <c r="D7" i="13"/>
  <c r="F10" i="13"/>
  <c r="G10" i="13"/>
  <c r="J13" i="12"/>
  <c r="E7" i="12"/>
  <c r="F10" i="12"/>
  <c r="D10" i="12"/>
  <c r="H10" i="11"/>
  <c r="E10" i="11"/>
  <c r="D7" i="11"/>
  <c r="F10" i="11"/>
  <c r="G12" i="10"/>
  <c r="K13" i="10"/>
  <c r="J13" i="10"/>
  <c r="I12" i="9"/>
  <c r="U25" i="9" s="1"/>
  <c r="D10" i="9"/>
  <c r="G7" i="9" s="1"/>
  <c r="U12" i="8"/>
  <c r="I12" i="8" s="1"/>
  <c r="L13" i="8" s="1"/>
  <c r="J12" i="8"/>
  <c r="H11" i="8"/>
  <c r="K12" i="8"/>
  <c r="G10" i="8"/>
  <c r="G12" i="8"/>
  <c r="M13" i="8" s="1"/>
  <c r="I11" i="8"/>
  <c r="F10" i="9"/>
  <c r="G12" i="9"/>
  <c r="H10" i="7"/>
  <c r="I10" i="13"/>
  <c r="I10" i="10"/>
  <c r="H10" i="10"/>
  <c r="G10" i="10"/>
  <c r="W14" i="8"/>
  <c r="G10" i="7"/>
  <c r="G12" i="7"/>
  <c r="J13" i="7" s="1"/>
  <c r="I12" i="7"/>
  <c r="L13" i="7" s="1"/>
  <c r="H12" i="7"/>
  <c r="Q13" i="7" s="1"/>
  <c r="O12" i="15"/>
  <c r="D7" i="15"/>
  <c r="D10" i="15"/>
  <c r="M12" i="15"/>
  <c r="E10" i="15"/>
  <c r="N12" i="15"/>
  <c r="F10" i="15"/>
  <c r="E7" i="15"/>
  <c r="K12" i="15"/>
  <c r="L12" i="15"/>
  <c r="F7" i="15"/>
  <c r="G16" i="15"/>
  <c r="G20" i="15"/>
  <c r="G24" i="15"/>
  <c r="G28" i="15"/>
  <c r="G32" i="15"/>
  <c r="G36" i="15"/>
  <c r="G29" i="15"/>
  <c r="G33" i="15"/>
  <c r="G37" i="15"/>
  <c r="D10" i="14"/>
  <c r="F10" i="14"/>
  <c r="E10" i="14"/>
  <c r="E7" i="14"/>
  <c r="F7" i="14"/>
  <c r="D7" i="14"/>
  <c r="M12" i="14"/>
  <c r="N12" i="14"/>
  <c r="O12" i="14"/>
  <c r="K12" i="14"/>
  <c r="L12" i="14"/>
  <c r="E10" i="13"/>
  <c r="D10" i="13"/>
  <c r="F7" i="13"/>
  <c r="E7" i="13"/>
  <c r="G12" i="13"/>
  <c r="M14" i="13" s="1"/>
  <c r="I12" i="13"/>
  <c r="O38" i="13" s="1"/>
  <c r="G23" i="13"/>
  <c r="G39" i="13"/>
  <c r="G19" i="13"/>
  <c r="G35" i="13"/>
  <c r="G31" i="13"/>
  <c r="G27" i="13"/>
  <c r="F7" i="12"/>
  <c r="D7" i="12"/>
  <c r="G39" i="12"/>
  <c r="G27" i="12"/>
  <c r="G35" i="12"/>
  <c r="G19" i="12"/>
  <c r="G23" i="12"/>
  <c r="G31" i="12"/>
  <c r="G18" i="12"/>
  <c r="G22" i="12"/>
  <c r="G26" i="12"/>
  <c r="G30" i="12"/>
  <c r="D10" i="11"/>
  <c r="F7" i="11"/>
  <c r="G12" i="11"/>
  <c r="J21" i="11" s="1"/>
  <c r="H12" i="11"/>
  <c r="Q17" i="11" s="1"/>
  <c r="G16" i="11"/>
  <c r="G39" i="11"/>
  <c r="E7" i="11"/>
  <c r="G35" i="11"/>
  <c r="G31" i="11"/>
  <c r="G15" i="11"/>
  <c r="G27" i="11"/>
  <c r="G18" i="11"/>
  <c r="G22" i="11"/>
  <c r="G26" i="11"/>
  <c r="F10" i="10"/>
  <c r="P20" i="10"/>
  <c r="E10" i="10"/>
  <c r="F7" i="10"/>
  <c r="I12" i="10"/>
  <c r="E7" i="10"/>
  <c r="D7" i="10"/>
  <c r="G17" i="10"/>
  <c r="G21" i="10"/>
  <c r="G25" i="10"/>
  <c r="G29" i="10"/>
  <c r="G33" i="10"/>
  <c r="G37" i="10"/>
  <c r="E10" i="9"/>
  <c r="H12" i="9"/>
  <c r="F7" i="9"/>
  <c r="I7" i="9" s="1"/>
  <c r="E7" i="9"/>
  <c r="H7" i="9" s="1"/>
  <c r="G13" i="9"/>
  <c r="G17" i="9"/>
  <c r="G21" i="9"/>
  <c r="G25" i="9"/>
  <c r="G29" i="9"/>
  <c r="G33" i="9"/>
  <c r="G37" i="9"/>
  <c r="G18" i="9"/>
  <c r="H12" i="8"/>
  <c r="G17" i="8"/>
  <c r="G21" i="8"/>
  <c r="G25" i="8"/>
  <c r="G29" i="8"/>
  <c r="G33" i="8"/>
  <c r="G37" i="8"/>
  <c r="G38" i="8"/>
  <c r="G33" i="7"/>
  <c r="G17" i="7"/>
  <c r="G20" i="7"/>
  <c r="G28" i="7"/>
  <c r="G36" i="7"/>
  <c r="G32" i="7"/>
  <c r="G10" i="14" l="1"/>
  <c r="O16" i="10"/>
  <c r="L13" i="10"/>
  <c r="J13" i="8"/>
  <c r="J19" i="7"/>
  <c r="M15" i="13"/>
  <c r="S36" i="13"/>
  <c r="S37" i="13"/>
  <c r="S29" i="11"/>
  <c r="AI29" i="11" s="1"/>
  <c r="P25" i="11"/>
  <c r="J38" i="11"/>
  <c r="P30" i="10"/>
  <c r="S36" i="10"/>
  <c r="M32" i="10"/>
  <c r="S17" i="10"/>
  <c r="M18" i="10"/>
  <c r="S21" i="10"/>
  <c r="M21" i="10"/>
  <c r="P32" i="10"/>
  <c r="S16" i="10"/>
  <c r="M24" i="10"/>
  <c r="J15" i="10"/>
  <c r="U19" i="10"/>
  <c r="O13" i="10"/>
  <c r="P34" i="10"/>
  <c r="S19" i="10"/>
  <c r="M13" i="10"/>
  <c r="S23" i="10"/>
  <c r="R15" i="10"/>
  <c r="O21" i="10"/>
  <c r="O17" i="10"/>
  <c r="O18" i="10"/>
  <c r="L21" i="10"/>
  <c r="O23" i="10"/>
  <c r="L23" i="10"/>
  <c r="U17" i="10"/>
  <c r="L22" i="10"/>
  <c r="U23" i="10"/>
  <c r="T28" i="8"/>
  <c r="K13" i="8"/>
  <c r="S29" i="13"/>
  <c r="J36" i="13"/>
  <c r="T32" i="11"/>
  <c r="AJ32" i="11" s="1"/>
  <c r="N33" i="11"/>
  <c r="J14" i="10"/>
  <c r="J17" i="10"/>
  <c r="J18" i="10"/>
  <c r="M20" i="10"/>
  <c r="P22" i="10"/>
  <c r="P18" i="10"/>
  <c r="S20" i="10"/>
  <c r="S14" i="10"/>
  <c r="S18" i="10"/>
  <c r="J21" i="10"/>
  <c r="M23" i="10"/>
  <c r="P17" i="10"/>
  <c r="P15" i="10"/>
  <c r="P16" i="10"/>
  <c r="P19" i="10"/>
  <c r="J22" i="10"/>
  <c r="P14" i="10"/>
  <c r="P13" i="10"/>
  <c r="J23" i="10"/>
  <c r="J19" i="10"/>
  <c r="P23" i="10"/>
  <c r="J20" i="10"/>
  <c r="M22" i="10"/>
  <c r="M15" i="10"/>
  <c r="M16" i="10"/>
  <c r="M19" i="10"/>
  <c r="P21" i="10"/>
  <c r="U21" i="10"/>
  <c r="O20" i="10"/>
  <c r="S13" i="10"/>
  <c r="S22" i="10"/>
  <c r="J32" i="10"/>
  <c r="M38" i="10"/>
  <c r="R17" i="10"/>
  <c r="M14" i="10"/>
  <c r="J16" i="10"/>
  <c r="O14" i="10"/>
  <c r="O22" i="10"/>
  <c r="O15" i="10"/>
  <c r="J31" i="10"/>
  <c r="S15" i="10"/>
  <c r="M17" i="10"/>
  <c r="R16" i="10"/>
  <c r="U14" i="10"/>
  <c r="R13" i="10"/>
  <c r="U26" i="10"/>
  <c r="R14" i="10"/>
  <c r="R18" i="10"/>
  <c r="U20" i="10"/>
  <c r="L16" i="10"/>
  <c r="R21" i="10"/>
  <c r="L15" i="10"/>
  <c r="L14" i="10"/>
  <c r="L17" i="10"/>
  <c r="L18" i="10"/>
  <c r="R22" i="10"/>
  <c r="L19" i="10"/>
  <c r="R19" i="10"/>
  <c r="R23" i="10"/>
  <c r="R20" i="10"/>
  <c r="U22" i="10"/>
  <c r="U13" i="10"/>
  <c r="U16" i="10"/>
  <c r="L20" i="10"/>
  <c r="U15" i="10"/>
  <c r="O19" i="10"/>
  <c r="U18" i="10"/>
  <c r="L38" i="9"/>
  <c r="U32" i="9"/>
  <c r="P32" i="7"/>
  <c r="P13" i="7"/>
  <c r="M13" i="7"/>
  <c r="S18" i="13"/>
  <c r="S25" i="13"/>
  <c r="J22" i="13"/>
  <c r="P13" i="13"/>
  <c r="P23" i="11"/>
  <c r="P24" i="11"/>
  <c r="M30" i="10"/>
  <c r="M28" i="10"/>
  <c r="S26" i="10"/>
  <c r="P35" i="10"/>
  <c r="S34" i="10"/>
  <c r="R13" i="9"/>
  <c r="R13" i="7"/>
  <c r="O13" i="7"/>
  <c r="N13" i="7"/>
  <c r="N32" i="8"/>
  <c r="S37" i="7"/>
  <c r="AI37" i="7" s="1"/>
  <c r="S29" i="7"/>
  <c r="AI29" i="7" s="1"/>
  <c r="S21" i="7"/>
  <c r="AI21" i="7" s="1"/>
  <c r="P39" i="7"/>
  <c r="P31" i="7"/>
  <c r="P23" i="7"/>
  <c r="P15" i="7"/>
  <c r="M33" i="7"/>
  <c r="M25" i="7"/>
  <c r="M17" i="7"/>
  <c r="J35" i="7"/>
  <c r="J27" i="7"/>
  <c r="P33" i="7"/>
  <c r="J37" i="7"/>
  <c r="J29" i="7"/>
  <c r="S36" i="7"/>
  <c r="AI36" i="7" s="1"/>
  <c r="S28" i="7"/>
  <c r="AI28" i="7" s="1"/>
  <c r="S20" i="7"/>
  <c r="AI20" i="7" s="1"/>
  <c r="P38" i="7"/>
  <c r="P30" i="7"/>
  <c r="P22" i="7"/>
  <c r="P14" i="7"/>
  <c r="M32" i="7"/>
  <c r="M24" i="7"/>
  <c r="M16" i="7"/>
  <c r="J34" i="7"/>
  <c r="J26" i="7"/>
  <c r="J18" i="7"/>
  <c r="S39" i="7"/>
  <c r="AI39" i="7" s="1"/>
  <c r="M35" i="7"/>
  <c r="S35" i="7"/>
  <c r="AI35" i="7" s="1"/>
  <c r="S27" i="7"/>
  <c r="AI27" i="7" s="1"/>
  <c r="S19" i="7"/>
  <c r="AI19" i="7" s="1"/>
  <c r="P37" i="7"/>
  <c r="P29" i="7"/>
  <c r="P21" i="7"/>
  <c r="M39" i="7"/>
  <c r="M31" i="7"/>
  <c r="M23" i="7"/>
  <c r="M15" i="7"/>
  <c r="J33" i="7"/>
  <c r="J25" i="7"/>
  <c r="J17" i="7"/>
  <c r="S23" i="7"/>
  <c r="AI23" i="7" s="1"/>
  <c r="M27" i="7"/>
  <c r="J21" i="7"/>
  <c r="S34" i="7"/>
  <c r="AI34" i="7" s="1"/>
  <c r="S26" i="7"/>
  <c r="AI26" i="7" s="1"/>
  <c r="S18" i="7"/>
  <c r="AI18" i="7" s="1"/>
  <c r="P36" i="7"/>
  <c r="P28" i="7"/>
  <c r="P20" i="7"/>
  <c r="M38" i="7"/>
  <c r="M30" i="7"/>
  <c r="M22" i="7"/>
  <c r="M14" i="7"/>
  <c r="J32" i="7"/>
  <c r="J24" i="7"/>
  <c r="J16" i="7"/>
  <c r="S15" i="7"/>
  <c r="AI15" i="7" s="1"/>
  <c r="S33" i="7"/>
  <c r="AI33" i="7" s="1"/>
  <c r="S25" i="7"/>
  <c r="AI25" i="7" s="1"/>
  <c r="S17" i="7"/>
  <c r="AI17" i="7" s="1"/>
  <c r="P35" i="7"/>
  <c r="P27" i="7"/>
  <c r="P19" i="7"/>
  <c r="M37" i="7"/>
  <c r="M29" i="7"/>
  <c r="M21" i="7"/>
  <c r="J39" i="7"/>
  <c r="J31" i="7"/>
  <c r="J23" i="7"/>
  <c r="J15" i="7"/>
  <c r="P25" i="7"/>
  <c r="S32" i="7"/>
  <c r="AI32" i="7" s="1"/>
  <c r="S24" i="7"/>
  <c r="AI24" i="7" s="1"/>
  <c r="S16" i="7"/>
  <c r="AI16" i="7" s="1"/>
  <c r="P34" i="7"/>
  <c r="P26" i="7"/>
  <c r="P18" i="7"/>
  <c r="M36" i="7"/>
  <c r="M28" i="7"/>
  <c r="M20" i="7"/>
  <c r="J38" i="7"/>
  <c r="J30" i="7"/>
  <c r="J22" i="7"/>
  <c r="J14" i="7"/>
  <c r="S31" i="7"/>
  <c r="AI31" i="7" s="1"/>
  <c r="M19" i="7"/>
  <c r="S38" i="7"/>
  <c r="AI38" i="7" s="1"/>
  <c r="S30" i="7"/>
  <c r="AI30" i="7" s="1"/>
  <c r="S22" i="7"/>
  <c r="AI22" i="7" s="1"/>
  <c r="S14" i="7"/>
  <c r="AI14" i="7" s="1"/>
  <c r="P24" i="7"/>
  <c r="P16" i="7"/>
  <c r="M34" i="7"/>
  <c r="M26" i="7"/>
  <c r="M18" i="7"/>
  <c r="J36" i="7"/>
  <c r="J28" i="7"/>
  <c r="J20" i="7"/>
  <c r="P17" i="7"/>
  <c r="S13" i="7"/>
  <c r="AI13" i="7" s="1"/>
  <c r="T37" i="7"/>
  <c r="AJ37" i="7" s="1"/>
  <c r="T29" i="7"/>
  <c r="AJ29" i="7" s="1"/>
  <c r="T21" i="7"/>
  <c r="AJ21" i="7" s="1"/>
  <c r="Q34" i="7"/>
  <c r="Q26" i="7"/>
  <c r="Q18" i="7"/>
  <c r="N38" i="7"/>
  <c r="N30" i="7"/>
  <c r="N22" i="7"/>
  <c r="N14" i="7"/>
  <c r="K34" i="7"/>
  <c r="K26" i="7"/>
  <c r="K18" i="7"/>
  <c r="T36" i="7"/>
  <c r="AJ36" i="7" s="1"/>
  <c r="T28" i="7"/>
  <c r="AJ28" i="7" s="1"/>
  <c r="T20" i="7"/>
  <c r="AJ20" i="7" s="1"/>
  <c r="Q33" i="7"/>
  <c r="Q25" i="7"/>
  <c r="Q17" i="7"/>
  <c r="N37" i="7"/>
  <c r="N29" i="7"/>
  <c r="N21" i="7"/>
  <c r="K33" i="7"/>
  <c r="K25" i="7"/>
  <c r="K17" i="7"/>
  <c r="T35" i="7"/>
  <c r="AJ35" i="7" s="1"/>
  <c r="T27" i="7"/>
  <c r="AJ27" i="7" s="1"/>
  <c r="T19" i="7"/>
  <c r="AJ19" i="7" s="1"/>
  <c r="Q32" i="7"/>
  <c r="Q24" i="7"/>
  <c r="Q16" i="7"/>
  <c r="N36" i="7"/>
  <c r="N28" i="7"/>
  <c r="N20" i="7"/>
  <c r="K32" i="7"/>
  <c r="K24" i="7"/>
  <c r="K16" i="7"/>
  <c r="T34" i="7"/>
  <c r="AJ34" i="7" s="1"/>
  <c r="T26" i="7"/>
  <c r="AJ26" i="7" s="1"/>
  <c r="T18" i="7"/>
  <c r="AJ18" i="7" s="1"/>
  <c r="Q39" i="7"/>
  <c r="Q31" i="7"/>
  <c r="Q23" i="7"/>
  <c r="Q15" i="7"/>
  <c r="N35" i="7"/>
  <c r="N27" i="7"/>
  <c r="N19" i="7"/>
  <c r="K39" i="7"/>
  <c r="K31" i="7"/>
  <c r="K23" i="7"/>
  <c r="K15" i="7"/>
  <c r="K13" i="7"/>
  <c r="T33" i="7"/>
  <c r="AJ33" i="7" s="1"/>
  <c r="T25" i="7"/>
  <c r="AJ25" i="7" s="1"/>
  <c r="T17" i="7"/>
  <c r="AJ17" i="7" s="1"/>
  <c r="Q38" i="7"/>
  <c r="Q30" i="7"/>
  <c r="Q22" i="7"/>
  <c r="Q14" i="7"/>
  <c r="N34" i="7"/>
  <c r="N26" i="7"/>
  <c r="N18" i="7"/>
  <c r="K38" i="7"/>
  <c r="K30" i="7"/>
  <c r="K22" i="7"/>
  <c r="K14" i="7"/>
  <c r="T32" i="7"/>
  <c r="AJ32" i="7" s="1"/>
  <c r="T24" i="7"/>
  <c r="AJ24" i="7" s="1"/>
  <c r="T16" i="7"/>
  <c r="AJ16" i="7" s="1"/>
  <c r="Q37" i="7"/>
  <c r="Q29" i="7"/>
  <c r="Q21" i="7"/>
  <c r="N33" i="7"/>
  <c r="N25" i="7"/>
  <c r="N17" i="7"/>
  <c r="K37" i="7"/>
  <c r="K29" i="7"/>
  <c r="K21" i="7"/>
  <c r="T39" i="7"/>
  <c r="AJ39" i="7" s="1"/>
  <c r="T31" i="7"/>
  <c r="AJ31" i="7" s="1"/>
  <c r="T23" i="7"/>
  <c r="AJ23" i="7" s="1"/>
  <c r="T15" i="7"/>
  <c r="AJ15" i="7" s="1"/>
  <c r="Q36" i="7"/>
  <c r="Q28" i="7"/>
  <c r="Q20" i="7"/>
  <c r="N32" i="7"/>
  <c r="N24" i="7"/>
  <c r="N16" i="7"/>
  <c r="K36" i="7"/>
  <c r="K28" i="7"/>
  <c r="K20" i="7"/>
  <c r="T38" i="7"/>
  <c r="AJ38" i="7" s="1"/>
  <c r="T30" i="7"/>
  <c r="AJ30" i="7" s="1"/>
  <c r="T22" i="7"/>
  <c r="AJ22" i="7" s="1"/>
  <c r="T14" i="7"/>
  <c r="AJ14" i="7" s="1"/>
  <c r="Q35" i="7"/>
  <c r="Q27" i="7"/>
  <c r="Q19" i="7"/>
  <c r="N39" i="7"/>
  <c r="N31" i="7"/>
  <c r="N23" i="7"/>
  <c r="N15" i="7"/>
  <c r="K35" i="7"/>
  <c r="K27" i="7"/>
  <c r="K19" i="7"/>
  <c r="U37" i="7"/>
  <c r="U29" i="7"/>
  <c r="U21" i="7"/>
  <c r="R36" i="7"/>
  <c r="R28" i="7"/>
  <c r="R20" i="7"/>
  <c r="O34" i="7"/>
  <c r="O26" i="7"/>
  <c r="O18" i="7"/>
  <c r="L32" i="7"/>
  <c r="L24" i="7"/>
  <c r="L16" i="7"/>
  <c r="U36" i="7"/>
  <c r="U28" i="7"/>
  <c r="U20" i="7"/>
  <c r="R35" i="7"/>
  <c r="R27" i="7"/>
  <c r="R19" i="7"/>
  <c r="O33" i="7"/>
  <c r="O25" i="7"/>
  <c r="O17" i="7"/>
  <c r="L39" i="7"/>
  <c r="L31" i="7"/>
  <c r="L23" i="7"/>
  <c r="L15" i="7"/>
  <c r="U35" i="7"/>
  <c r="U27" i="7"/>
  <c r="U19" i="7"/>
  <c r="R34" i="7"/>
  <c r="R26" i="7"/>
  <c r="R18" i="7"/>
  <c r="O32" i="7"/>
  <c r="O24" i="7"/>
  <c r="O16" i="7"/>
  <c r="L38" i="7"/>
  <c r="L30" i="7"/>
  <c r="L22" i="7"/>
  <c r="L14" i="7"/>
  <c r="U34" i="7"/>
  <c r="U26" i="7"/>
  <c r="U18" i="7"/>
  <c r="R33" i="7"/>
  <c r="R25" i="7"/>
  <c r="R17" i="7"/>
  <c r="O39" i="7"/>
  <c r="O31" i="7"/>
  <c r="O23" i="7"/>
  <c r="O15" i="7"/>
  <c r="L37" i="7"/>
  <c r="L29" i="7"/>
  <c r="L21" i="7"/>
  <c r="U33" i="7"/>
  <c r="U25" i="7"/>
  <c r="U17" i="7"/>
  <c r="R32" i="7"/>
  <c r="R24" i="7"/>
  <c r="R16" i="7"/>
  <c r="O38" i="7"/>
  <c r="O30" i="7"/>
  <c r="O22" i="7"/>
  <c r="O14" i="7"/>
  <c r="L36" i="7"/>
  <c r="L28" i="7"/>
  <c r="L20" i="7"/>
  <c r="U32" i="7"/>
  <c r="U24" i="7"/>
  <c r="U16" i="7"/>
  <c r="R39" i="7"/>
  <c r="R31" i="7"/>
  <c r="R23" i="7"/>
  <c r="R15" i="7"/>
  <c r="O37" i="7"/>
  <c r="O29" i="7"/>
  <c r="O21" i="7"/>
  <c r="L35" i="7"/>
  <c r="L27" i="7"/>
  <c r="L19" i="7"/>
  <c r="U39" i="7"/>
  <c r="U31" i="7"/>
  <c r="U23" i="7"/>
  <c r="U15" i="7"/>
  <c r="R38" i="7"/>
  <c r="R30" i="7"/>
  <c r="R22" i="7"/>
  <c r="R14" i="7"/>
  <c r="O36" i="7"/>
  <c r="O28" i="7"/>
  <c r="O20" i="7"/>
  <c r="L34" i="7"/>
  <c r="L26" i="7"/>
  <c r="L18" i="7"/>
  <c r="U38" i="7"/>
  <c r="U30" i="7"/>
  <c r="U22" i="7"/>
  <c r="U14" i="7"/>
  <c r="R37" i="7"/>
  <c r="R29" i="7"/>
  <c r="R21" i="7"/>
  <c r="O35" i="7"/>
  <c r="O27" i="7"/>
  <c r="O19" i="7"/>
  <c r="L33" i="7"/>
  <c r="L25" i="7"/>
  <c r="L17" i="7"/>
  <c r="G10" i="15"/>
  <c r="H10" i="15"/>
  <c r="I10" i="15"/>
  <c r="I12" i="15"/>
  <c r="H12" i="15"/>
  <c r="G12" i="15"/>
  <c r="I10" i="14"/>
  <c r="H10" i="14"/>
  <c r="G12" i="14"/>
  <c r="H12" i="14"/>
  <c r="I12" i="14"/>
  <c r="J20" i="13"/>
  <c r="M24" i="13"/>
  <c r="M22" i="13"/>
  <c r="S17" i="13"/>
  <c r="M36" i="13"/>
  <c r="S14" i="13"/>
  <c r="P38" i="13"/>
  <c r="M18" i="13"/>
  <c r="P17" i="13"/>
  <c r="P26" i="13"/>
  <c r="P28" i="13"/>
  <c r="S15" i="13"/>
  <c r="J30" i="13"/>
  <c r="P29" i="13"/>
  <c r="P22" i="13"/>
  <c r="S28" i="13"/>
  <c r="P37" i="13"/>
  <c r="P25" i="13"/>
  <c r="M38" i="13"/>
  <c r="M20" i="13"/>
  <c r="M29" i="13"/>
  <c r="U27" i="13"/>
  <c r="J18" i="13"/>
  <c r="J21" i="13"/>
  <c r="S13" i="13"/>
  <c r="S24" i="13"/>
  <c r="M21" i="13"/>
  <c r="J33" i="13"/>
  <c r="M26" i="13"/>
  <c r="J24" i="13"/>
  <c r="P32" i="13"/>
  <c r="M17" i="13"/>
  <c r="M33" i="13"/>
  <c r="P20" i="13"/>
  <c r="S38" i="13"/>
  <c r="R39" i="13"/>
  <c r="L14" i="13"/>
  <c r="U38" i="13"/>
  <c r="L37" i="13"/>
  <c r="U39" i="13"/>
  <c r="R35" i="13"/>
  <c r="L21" i="13"/>
  <c r="R26" i="13"/>
  <c r="L25" i="13"/>
  <c r="L33" i="13"/>
  <c r="R22" i="13"/>
  <c r="L30" i="13"/>
  <c r="U36" i="13"/>
  <c r="R31" i="13"/>
  <c r="L17" i="13"/>
  <c r="L23" i="13"/>
  <c r="L24" i="13"/>
  <c r="L16" i="13"/>
  <c r="L29" i="13"/>
  <c r="R27" i="13"/>
  <c r="U34" i="13"/>
  <c r="O23" i="13"/>
  <c r="U16" i="13"/>
  <c r="O21" i="13"/>
  <c r="O13" i="13"/>
  <c r="L32" i="13"/>
  <c r="O20" i="13"/>
  <c r="U26" i="13"/>
  <c r="O31" i="13"/>
  <c r="U22" i="13"/>
  <c r="U37" i="13"/>
  <c r="R17" i="13"/>
  <c r="U25" i="13"/>
  <c r="U30" i="13"/>
  <c r="U35" i="13"/>
  <c r="O17" i="13"/>
  <c r="U23" i="13"/>
  <c r="R34" i="13"/>
  <c r="O27" i="13"/>
  <c r="L19" i="13"/>
  <c r="R19" i="13"/>
  <c r="U18" i="13"/>
  <c r="L13" i="13"/>
  <c r="U20" i="13"/>
  <c r="U33" i="13"/>
  <c r="U31" i="13"/>
  <c r="R36" i="13"/>
  <c r="O39" i="13"/>
  <c r="O19" i="13"/>
  <c r="R37" i="13"/>
  <c r="U14" i="13"/>
  <c r="R13" i="13"/>
  <c r="R29" i="13"/>
  <c r="R18" i="13"/>
  <c r="U24" i="13"/>
  <c r="L18" i="13"/>
  <c r="L36" i="13"/>
  <c r="O36" i="13"/>
  <c r="R21" i="13"/>
  <c r="R30" i="13"/>
  <c r="U29" i="13"/>
  <c r="L15" i="13"/>
  <c r="U28" i="13"/>
  <c r="L22" i="13"/>
  <c r="O18" i="13"/>
  <c r="O37" i="13"/>
  <c r="U21" i="13"/>
  <c r="L31" i="13"/>
  <c r="L35" i="13"/>
  <c r="R25" i="13"/>
  <c r="O29" i="13"/>
  <c r="R14" i="13"/>
  <c r="U32" i="13"/>
  <c r="R33" i="13"/>
  <c r="L26" i="13"/>
  <c r="O26" i="13"/>
  <c r="R16" i="13"/>
  <c r="O30" i="13"/>
  <c r="R23" i="13"/>
  <c r="O35" i="13"/>
  <c r="L27" i="13"/>
  <c r="U19" i="13"/>
  <c r="U17" i="13"/>
  <c r="O25" i="13"/>
  <c r="R38" i="13"/>
  <c r="L39" i="13"/>
  <c r="O33" i="13"/>
  <c r="U15" i="13"/>
  <c r="L34" i="13"/>
  <c r="R24" i="13"/>
  <c r="U13" i="13"/>
  <c r="R28" i="13"/>
  <c r="O16" i="13"/>
  <c r="L28" i="13"/>
  <c r="R20" i="13"/>
  <c r="O28" i="13"/>
  <c r="S31" i="13"/>
  <c r="J31" i="13"/>
  <c r="P31" i="13"/>
  <c r="M31" i="13"/>
  <c r="S39" i="13"/>
  <c r="J39" i="13"/>
  <c r="P39" i="13"/>
  <c r="M39" i="13"/>
  <c r="S34" i="13"/>
  <c r="J25" i="13"/>
  <c r="P34" i="13"/>
  <c r="M30" i="13"/>
  <c r="P33" i="13"/>
  <c r="J17" i="13"/>
  <c r="P21" i="13"/>
  <c r="P36" i="13"/>
  <c r="S20" i="13"/>
  <c r="M25" i="13"/>
  <c r="S30" i="13"/>
  <c r="J29" i="13"/>
  <c r="O32" i="13"/>
  <c r="O22" i="13"/>
  <c r="S23" i="13"/>
  <c r="J23" i="13"/>
  <c r="P23" i="13"/>
  <c r="M23" i="13"/>
  <c r="P16" i="13"/>
  <c r="J15" i="13"/>
  <c r="J37" i="13"/>
  <c r="P30" i="13"/>
  <c r="M34" i="13"/>
  <c r="S21" i="13"/>
  <c r="J38" i="13"/>
  <c r="M28" i="13"/>
  <c r="S16" i="13"/>
  <c r="S32" i="13"/>
  <c r="J26" i="13"/>
  <c r="S19" i="13"/>
  <c r="J19" i="13"/>
  <c r="P19" i="13"/>
  <c r="M19" i="13"/>
  <c r="J34" i="13"/>
  <c r="M37" i="13"/>
  <c r="L38" i="13"/>
  <c r="S26" i="13"/>
  <c r="R32" i="13"/>
  <c r="J28" i="13"/>
  <c r="O14" i="13"/>
  <c r="P14" i="13"/>
  <c r="O24" i="13"/>
  <c r="O34" i="13"/>
  <c r="P18" i="13"/>
  <c r="S33" i="13"/>
  <c r="J32" i="13"/>
  <c r="P15" i="13"/>
  <c r="M16" i="13"/>
  <c r="M32" i="13"/>
  <c r="S35" i="13"/>
  <c r="J35" i="13"/>
  <c r="P35" i="13"/>
  <c r="M35" i="13"/>
  <c r="P24" i="13"/>
  <c r="M13" i="13"/>
  <c r="L20" i="13"/>
  <c r="S22" i="13"/>
  <c r="R15" i="13"/>
  <c r="J16" i="13"/>
  <c r="J14" i="13"/>
  <c r="O15" i="13"/>
  <c r="S27" i="13"/>
  <c r="J27" i="13"/>
  <c r="M27" i="13"/>
  <c r="P27" i="13"/>
  <c r="H12" i="13"/>
  <c r="N27" i="13" s="1"/>
  <c r="P16" i="12"/>
  <c r="I12" i="12"/>
  <c r="L13" i="12" s="1"/>
  <c r="P36" i="12"/>
  <c r="S37" i="12"/>
  <c r="H12" i="12"/>
  <c r="T15" i="12" s="1"/>
  <c r="P31" i="12"/>
  <c r="J29" i="11"/>
  <c r="J14" i="11"/>
  <c r="T27" i="11"/>
  <c r="AJ27" i="11" s="1"/>
  <c r="P38" i="11"/>
  <c r="M17" i="11"/>
  <c r="P33" i="11"/>
  <c r="M29" i="11"/>
  <c r="P21" i="11"/>
  <c r="S24" i="11"/>
  <c r="AI24" i="11" s="1"/>
  <c r="S14" i="11"/>
  <c r="AI14" i="11" s="1"/>
  <c r="S19" i="11"/>
  <c r="AI19" i="11" s="1"/>
  <c r="W19" i="11" s="1"/>
  <c r="J25" i="11"/>
  <c r="P34" i="11"/>
  <c r="S23" i="11"/>
  <c r="AI23" i="11" s="1"/>
  <c r="P29" i="11"/>
  <c r="J13" i="11"/>
  <c r="M24" i="11"/>
  <c r="S20" i="11"/>
  <c r="AI20" i="11" s="1"/>
  <c r="S17" i="11"/>
  <c r="AI17" i="11" s="1"/>
  <c r="J33" i="11"/>
  <c r="J32" i="11"/>
  <c r="J36" i="11"/>
  <c r="P37" i="11"/>
  <c r="P17" i="11"/>
  <c r="M20" i="11"/>
  <c r="S38" i="11"/>
  <c r="AI38" i="11" s="1"/>
  <c r="J37" i="11"/>
  <c r="S28" i="11"/>
  <c r="AI28" i="11" s="1"/>
  <c r="W28" i="11" s="1"/>
  <c r="J24" i="11"/>
  <c r="P32" i="11"/>
  <c r="P36" i="11"/>
  <c r="M13" i="11"/>
  <c r="S21" i="11"/>
  <c r="AI21" i="11" s="1"/>
  <c r="M25" i="11"/>
  <c r="M28" i="11"/>
  <c r="S32" i="11"/>
  <c r="AI32" i="11" s="1"/>
  <c r="S36" i="11"/>
  <c r="AI36" i="11" s="1"/>
  <c r="M23" i="11"/>
  <c r="S34" i="11"/>
  <c r="AI34" i="11" s="1"/>
  <c r="W34" i="11" s="1"/>
  <c r="S13" i="11"/>
  <c r="AI13" i="11" s="1"/>
  <c r="W13" i="11" s="1"/>
  <c r="M32" i="11"/>
  <c r="M36" i="11"/>
  <c r="M30" i="11"/>
  <c r="S37" i="11"/>
  <c r="AI37" i="11" s="1"/>
  <c r="W37" i="11" s="1"/>
  <c r="M21" i="11"/>
  <c r="P14" i="11"/>
  <c r="M37" i="11"/>
  <c r="Q38" i="11"/>
  <c r="K27" i="11"/>
  <c r="N30" i="11"/>
  <c r="K31" i="11"/>
  <c r="Q24" i="11"/>
  <c r="N21" i="11"/>
  <c r="K35" i="11"/>
  <c r="N39" i="11"/>
  <c r="N26" i="11"/>
  <c r="T18" i="11"/>
  <c r="AJ18" i="11" s="1"/>
  <c r="K38" i="11"/>
  <c r="Q26" i="11"/>
  <c r="K13" i="11"/>
  <c r="T31" i="11"/>
  <c r="AJ31" i="11" s="1"/>
  <c r="K24" i="11"/>
  <c r="N25" i="11"/>
  <c r="T21" i="11"/>
  <c r="AJ21" i="11" s="1"/>
  <c r="N29" i="11"/>
  <c r="Q23" i="11"/>
  <c r="T24" i="11"/>
  <c r="AJ24" i="11" s="1"/>
  <c r="Q39" i="11"/>
  <c r="T22" i="11"/>
  <c r="AJ22" i="11" s="1"/>
  <c r="X22" i="11" s="1"/>
  <c r="K17" i="11"/>
  <c r="N34" i="11"/>
  <c r="T28" i="11"/>
  <c r="AJ28" i="11" s="1"/>
  <c r="X28" i="11" s="1"/>
  <c r="K23" i="11"/>
  <c r="Q22" i="11"/>
  <c r="K20" i="11"/>
  <c r="N24" i="11"/>
  <c r="K39" i="11"/>
  <c r="Q16" i="11"/>
  <c r="T29" i="11"/>
  <c r="AJ29" i="11" s="1"/>
  <c r="K18" i="11"/>
  <c r="Q14" i="11"/>
  <c r="K36" i="11"/>
  <c r="T23" i="11"/>
  <c r="AJ23" i="11" s="1"/>
  <c r="Q19" i="11"/>
  <c r="T20" i="11"/>
  <c r="AJ20" i="11" s="1"/>
  <c r="N15" i="11"/>
  <c r="N23" i="11"/>
  <c r="T39" i="11"/>
  <c r="AJ39" i="11" s="1"/>
  <c r="N38" i="11"/>
  <c r="T26" i="11"/>
  <c r="AJ26" i="11" s="1"/>
  <c r="K21" i="11"/>
  <c r="K25" i="11"/>
  <c r="Q25" i="11"/>
  <c r="K32" i="11"/>
  <c r="Q36" i="11"/>
  <c r="N27" i="11"/>
  <c r="N19" i="11"/>
  <c r="K19" i="11"/>
  <c r="N20" i="11"/>
  <c r="N31" i="11"/>
  <c r="T14" i="11"/>
  <c r="AJ14" i="11" s="1"/>
  <c r="K14" i="11"/>
  <c r="N35" i="11"/>
  <c r="N18" i="11"/>
  <c r="N28" i="11"/>
  <c r="T15" i="11"/>
  <c r="AJ15" i="11" s="1"/>
  <c r="T30" i="11"/>
  <c r="AJ30" i="11" s="1"/>
  <c r="K22" i="11"/>
  <c r="K29" i="11"/>
  <c r="Q37" i="11"/>
  <c r="N32" i="11"/>
  <c r="K28" i="11"/>
  <c r="Q32" i="11"/>
  <c r="T19" i="11"/>
  <c r="AJ19" i="11" s="1"/>
  <c r="X19" i="11" s="1"/>
  <c r="Q18" i="11"/>
  <c r="T16" i="11"/>
  <c r="AJ16" i="11" s="1"/>
  <c r="X16" i="11" s="1"/>
  <c r="Q13" i="11"/>
  <c r="T33" i="11"/>
  <c r="AJ33" i="11" s="1"/>
  <c r="K26" i="11"/>
  <c r="K33" i="11"/>
  <c r="Q21" i="11"/>
  <c r="T36" i="11"/>
  <c r="AJ36" i="11" s="1"/>
  <c r="Q28" i="11"/>
  <c r="Q27" i="11"/>
  <c r="N14" i="11"/>
  <c r="N16" i="11"/>
  <c r="Q31" i="11"/>
  <c r="Q30" i="11"/>
  <c r="N17" i="11"/>
  <c r="Q35" i="11"/>
  <c r="N13" i="11"/>
  <c r="T25" i="11"/>
  <c r="AJ25" i="11" s="1"/>
  <c r="K15" i="11"/>
  <c r="Q34" i="11"/>
  <c r="P30" i="11"/>
  <c r="P13" i="11"/>
  <c r="J34" i="11"/>
  <c r="M14" i="11"/>
  <c r="M34" i="11"/>
  <c r="M19" i="11"/>
  <c r="S30" i="11"/>
  <c r="AI30" i="11" s="1"/>
  <c r="J28" i="11"/>
  <c r="P20" i="11"/>
  <c r="M38" i="11"/>
  <c r="P19" i="11"/>
  <c r="S25" i="11"/>
  <c r="AI25" i="11" s="1"/>
  <c r="W25" i="11" s="1"/>
  <c r="J17" i="11"/>
  <c r="P28" i="11"/>
  <c r="J23" i="11"/>
  <c r="J30" i="11"/>
  <c r="J20" i="11"/>
  <c r="M33" i="11"/>
  <c r="J19" i="11"/>
  <c r="S33" i="11"/>
  <c r="AI33" i="11" s="1"/>
  <c r="J22" i="11"/>
  <c r="P22" i="11"/>
  <c r="S22" i="11"/>
  <c r="AI22" i="11" s="1"/>
  <c r="W22" i="11" s="1"/>
  <c r="M22" i="11"/>
  <c r="S27" i="11"/>
  <c r="AI27" i="11" s="1"/>
  <c r="J27" i="11"/>
  <c r="M27" i="11"/>
  <c r="P27" i="11"/>
  <c r="S31" i="11"/>
  <c r="AI31" i="11" s="1"/>
  <c r="J31" i="11"/>
  <c r="P31" i="11"/>
  <c r="M31" i="11"/>
  <c r="S39" i="11"/>
  <c r="AI39" i="11" s="1"/>
  <c r="J39" i="11"/>
  <c r="P39" i="11"/>
  <c r="M39" i="11"/>
  <c r="Q20" i="11"/>
  <c r="J18" i="11"/>
  <c r="P18" i="11"/>
  <c r="S18" i="11"/>
  <c r="AI18" i="11" s="1"/>
  <c r="M18" i="11"/>
  <c r="S35" i="11"/>
  <c r="AI35" i="11" s="1"/>
  <c r="J35" i="11"/>
  <c r="P35" i="11"/>
  <c r="M35" i="11"/>
  <c r="S16" i="11"/>
  <c r="AI16" i="11" s="1"/>
  <c r="W16" i="11" s="1"/>
  <c r="P16" i="11"/>
  <c r="M16" i="11"/>
  <c r="J16" i="11"/>
  <c r="I12" i="11"/>
  <c r="O35" i="11" s="1"/>
  <c r="K37" i="11"/>
  <c r="Q33" i="11"/>
  <c r="J26" i="11"/>
  <c r="P26" i="11"/>
  <c r="M26" i="11"/>
  <c r="S26" i="11"/>
  <c r="AI26" i="11" s="1"/>
  <c r="T37" i="11"/>
  <c r="AJ37" i="11" s="1"/>
  <c r="T34" i="11"/>
  <c r="AJ34" i="11" s="1"/>
  <c r="K34" i="11"/>
  <c r="Q15" i="11"/>
  <c r="Q29" i="11"/>
  <c r="P15" i="11"/>
  <c r="S15" i="11"/>
  <c r="AI15" i="11" s="1"/>
  <c r="M15" i="11"/>
  <c r="J15" i="11"/>
  <c r="K16" i="11"/>
  <c r="N36" i="11"/>
  <c r="N22" i="11"/>
  <c r="N37" i="11"/>
  <c r="T35" i="11"/>
  <c r="AJ35" i="11" s="1"/>
  <c r="T13" i="11"/>
  <c r="AJ13" i="11" s="1"/>
  <c r="X13" i="11" s="1"/>
  <c r="T17" i="11"/>
  <c r="AJ17" i="11" s="1"/>
  <c r="T38" i="11"/>
  <c r="AJ38" i="11" s="1"/>
  <c r="K30" i="11"/>
  <c r="P24" i="10"/>
  <c r="S35" i="10"/>
  <c r="J36" i="10"/>
  <c r="J34" i="10"/>
  <c r="M35" i="10"/>
  <c r="J39" i="10"/>
  <c r="J30" i="10"/>
  <c r="P39" i="10"/>
  <c r="S27" i="10"/>
  <c r="S32" i="10"/>
  <c r="J24" i="10"/>
  <c r="P31" i="10"/>
  <c r="J27" i="10"/>
  <c r="P38" i="10"/>
  <c r="S28" i="10"/>
  <c r="P28" i="10"/>
  <c r="P36" i="10"/>
  <c r="S31" i="10"/>
  <c r="S39" i="10"/>
  <c r="M27" i="10"/>
  <c r="S38" i="10"/>
  <c r="M31" i="10"/>
  <c r="J38" i="10"/>
  <c r="M39" i="10"/>
  <c r="M34" i="10"/>
  <c r="P27" i="10"/>
  <c r="S30" i="10"/>
  <c r="P26" i="10"/>
  <c r="S24" i="10"/>
  <c r="J28" i="10"/>
  <c r="M26" i="10"/>
  <c r="J35" i="10"/>
  <c r="J26" i="10"/>
  <c r="M36" i="10"/>
  <c r="R24" i="10"/>
  <c r="L28" i="10"/>
  <c r="R35" i="10"/>
  <c r="L34" i="10"/>
  <c r="S33" i="10"/>
  <c r="J33" i="10"/>
  <c r="M33" i="10"/>
  <c r="P33" i="10"/>
  <c r="L26" i="10"/>
  <c r="R26" i="10"/>
  <c r="O36" i="10"/>
  <c r="O26" i="10"/>
  <c r="U28" i="10"/>
  <c r="R30" i="10"/>
  <c r="U30" i="10"/>
  <c r="R33" i="10"/>
  <c r="L31" i="10"/>
  <c r="O35" i="10"/>
  <c r="U35" i="10"/>
  <c r="U27" i="10"/>
  <c r="R31" i="10"/>
  <c r="L25" i="10"/>
  <c r="R32" i="10"/>
  <c r="U32" i="10"/>
  <c r="O37" i="10"/>
  <c r="O38" i="10"/>
  <c r="U25" i="10"/>
  <c r="S29" i="10"/>
  <c r="J29" i="10"/>
  <c r="M29" i="10"/>
  <c r="P29" i="10"/>
  <c r="R28" i="10"/>
  <c r="O33" i="10"/>
  <c r="O34" i="10"/>
  <c r="U38" i="10"/>
  <c r="L32" i="10"/>
  <c r="R25" i="10"/>
  <c r="L38" i="10"/>
  <c r="L39" i="10"/>
  <c r="R38" i="10"/>
  <c r="R36" i="10"/>
  <c r="O31" i="10"/>
  <c r="O24" i="10"/>
  <c r="U29" i="10"/>
  <c r="O27" i="10"/>
  <c r="O30" i="10"/>
  <c r="R37" i="10"/>
  <c r="L30" i="10"/>
  <c r="L27" i="10"/>
  <c r="O25" i="10"/>
  <c r="U33" i="10"/>
  <c r="U37" i="10"/>
  <c r="U24" i="10"/>
  <c r="L24" i="10"/>
  <c r="R27" i="10"/>
  <c r="S37" i="10"/>
  <c r="M37" i="10"/>
  <c r="J37" i="10"/>
  <c r="P37" i="10"/>
  <c r="S25" i="10"/>
  <c r="J25" i="10"/>
  <c r="P25" i="10"/>
  <c r="M25" i="10"/>
  <c r="O28" i="10"/>
  <c r="O39" i="10"/>
  <c r="O29" i="10"/>
  <c r="U34" i="10"/>
  <c r="L36" i="10"/>
  <c r="R29" i="10"/>
  <c r="U39" i="10"/>
  <c r="U31" i="10"/>
  <c r="L35" i="10"/>
  <c r="R39" i="10"/>
  <c r="L29" i="10"/>
  <c r="R34" i="10"/>
  <c r="O32" i="10"/>
  <c r="U36" i="10"/>
  <c r="L37" i="10"/>
  <c r="L33" i="10"/>
  <c r="N15" i="9"/>
  <c r="K19" i="9"/>
  <c r="K16" i="9"/>
  <c r="T31" i="9"/>
  <c r="Q32" i="9"/>
  <c r="T32" i="9"/>
  <c r="K38" i="9"/>
  <c r="Q22" i="9"/>
  <c r="Q21" i="9"/>
  <c r="Q28" i="9"/>
  <c r="K24" i="9"/>
  <c r="T39" i="9"/>
  <c r="T34" i="9"/>
  <c r="L17" i="9"/>
  <c r="L36" i="9"/>
  <c r="U23" i="9"/>
  <c r="U16" i="9"/>
  <c r="L29" i="9"/>
  <c r="L32" i="9"/>
  <c r="L31" i="9"/>
  <c r="U18" i="9"/>
  <c r="R31" i="9"/>
  <c r="R36" i="9"/>
  <c r="O19" i="9"/>
  <c r="L37" i="9"/>
  <c r="K29" i="9"/>
  <c r="L28" i="9"/>
  <c r="T23" i="9"/>
  <c r="L26" i="9"/>
  <c r="R17" i="9"/>
  <c r="Q27" i="9"/>
  <c r="U24" i="9"/>
  <c r="R25" i="9"/>
  <c r="O13" i="9"/>
  <c r="L22" i="9"/>
  <c r="R32" i="9"/>
  <c r="O38" i="9"/>
  <c r="N23" i="9"/>
  <c r="O30" i="9"/>
  <c r="U15" i="9"/>
  <c r="O25" i="9"/>
  <c r="R19" i="9"/>
  <c r="R30" i="9"/>
  <c r="U33" i="9"/>
  <c r="L27" i="9"/>
  <c r="R21" i="9"/>
  <c r="K28" i="9"/>
  <c r="L39" i="9"/>
  <c r="O20" i="9"/>
  <c r="R15" i="9"/>
  <c r="R34" i="9"/>
  <c r="U26" i="9"/>
  <c r="N24" i="9"/>
  <c r="O15" i="9"/>
  <c r="O34" i="9"/>
  <c r="R37" i="9"/>
  <c r="N19" i="9"/>
  <c r="U27" i="9"/>
  <c r="O37" i="9"/>
  <c r="O21" i="9"/>
  <c r="T38" i="9"/>
  <c r="N13" i="9"/>
  <c r="L33" i="9"/>
  <c r="O31" i="9"/>
  <c r="N20" i="9"/>
  <c r="N26" i="9"/>
  <c r="K37" i="9"/>
  <c r="K13" i="9"/>
  <c r="N39" i="9"/>
  <c r="T24" i="9"/>
  <c r="T16" i="9"/>
  <c r="K36" i="9"/>
  <c r="Q29" i="9"/>
  <c r="Q17" i="9"/>
  <c r="T19" i="9"/>
  <c r="O33" i="9"/>
  <c r="K27" i="9"/>
  <c r="K15" i="9"/>
  <c r="O16" i="9"/>
  <c r="L34" i="9"/>
  <c r="R27" i="9"/>
  <c r="N21" i="9"/>
  <c r="T14" i="9"/>
  <c r="R22" i="9"/>
  <c r="Q31" i="9"/>
  <c r="K18" i="9"/>
  <c r="U28" i="9"/>
  <c r="O39" i="9"/>
  <c r="T13" i="9"/>
  <c r="R33" i="9"/>
  <c r="T17" i="9"/>
  <c r="N34" i="9"/>
  <c r="U37" i="9"/>
  <c r="Q23" i="9"/>
  <c r="Q18" i="9"/>
  <c r="N36" i="9"/>
  <c r="K33" i="9"/>
  <c r="T35" i="9"/>
  <c r="N31" i="9"/>
  <c r="L24" i="9"/>
  <c r="L16" i="9"/>
  <c r="T27" i="9"/>
  <c r="U35" i="9"/>
  <c r="O22" i="9"/>
  <c r="K39" i="9"/>
  <c r="Q20" i="9"/>
  <c r="U14" i="9"/>
  <c r="R39" i="9"/>
  <c r="N33" i="9"/>
  <c r="T26" i="9"/>
  <c r="L14" i="9"/>
  <c r="R24" i="9"/>
  <c r="R26" i="9"/>
  <c r="T25" i="9"/>
  <c r="Q39" i="9"/>
  <c r="K30" i="9"/>
  <c r="T21" i="9"/>
  <c r="U36" i="9"/>
  <c r="R18" i="9"/>
  <c r="U30" i="9"/>
  <c r="R14" i="9"/>
  <c r="N38" i="9"/>
  <c r="Q14" i="9"/>
  <c r="U29" i="9"/>
  <c r="T36" i="9"/>
  <c r="N25" i="9"/>
  <c r="T18" i="9"/>
  <c r="Q35" i="9"/>
  <c r="K14" i="9"/>
  <c r="T29" i="9"/>
  <c r="N14" i="9"/>
  <c r="U13" i="9"/>
  <c r="L15" i="9"/>
  <c r="T28" i="9"/>
  <c r="K31" i="9"/>
  <c r="K25" i="9"/>
  <c r="T15" i="9"/>
  <c r="O26" i="9"/>
  <c r="K20" i="9"/>
  <c r="Q24" i="9"/>
  <c r="O17" i="9"/>
  <c r="N37" i="9"/>
  <c r="T30" i="9"/>
  <c r="L18" i="9"/>
  <c r="O36" i="9"/>
  <c r="N28" i="9"/>
  <c r="R16" i="9"/>
  <c r="R38" i="9"/>
  <c r="T37" i="9"/>
  <c r="N16" i="9"/>
  <c r="U34" i="9"/>
  <c r="K22" i="9"/>
  <c r="Q26" i="9"/>
  <c r="N30" i="9"/>
  <c r="T33" i="9"/>
  <c r="U17" i="9"/>
  <c r="Q33" i="9"/>
  <c r="K21" i="9"/>
  <c r="L23" i="9"/>
  <c r="N35" i="9"/>
  <c r="N27" i="9"/>
  <c r="T20" i="9"/>
  <c r="U39" i="9"/>
  <c r="K32" i="9"/>
  <c r="Q25" i="9"/>
  <c r="U19" i="9"/>
  <c r="O14" i="9"/>
  <c r="Q36" i="9"/>
  <c r="O29" i="9"/>
  <c r="K23" i="9"/>
  <c r="O32" i="9"/>
  <c r="L30" i="9"/>
  <c r="R23" i="9"/>
  <c r="N17" i="9"/>
  <c r="O28" i="9"/>
  <c r="L25" i="9"/>
  <c r="R20" i="9"/>
  <c r="Q38" i="9"/>
  <c r="Q15" i="9"/>
  <c r="L21" i="9"/>
  <c r="K26" i="9"/>
  <c r="N32" i="9"/>
  <c r="O23" i="9"/>
  <c r="N18" i="9"/>
  <c r="Q30" i="9"/>
  <c r="U21" i="9"/>
  <c r="Q34" i="9"/>
  <c r="K17" i="9"/>
  <c r="L19" i="9"/>
  <c r="L20" i="9"/>
  <c r="L35" i="9"/>
  <c r="Q37" i="9"/>
  <c r="U31" i="9"/>
  <c r="O18" i="9"/>
  <c r="Q13" i="9"/>
  <c r="K35" i="9"/>
  <c r="Q16" i="9"/>
  <c r="O24" i="9"/>
  <c r="R35" i="9"/>
  <c r="N29" i="9"/>
  <c r="T22" i="9"/>
  <c r="U38" i="9"/>
  <c r="U22" i="9"/>
  <c r="R28" i="9"/>
  <c r="P18" i="9"/>
  <c r="O35" i="9"/>
  <c r="Q19" i="9"/>
  <c r="K34" i="9"/>
  <c r="R29" i="9"/>
  <c r="L13" i="9"/>
  <c r="U20" i="9"/>
  <c r="N22" i="9"/>
  <c r="O27" i="9"/>
  <c r="Q14" i="8"/>
  <c r="N27" i="8"/>
  <c r="K19" i="8"/>
  <c r="K39" i="8"/>
  <c r="N18" i="8"/>
  <c r="O32" i="8"/>
  <c r="L25" i="8"/>
  <c r="O27" i="8"/>
  <c r="N39" i="8"/>
  <c r="T15" i="8"/>
  <c r="Q24" i="8"/>
  <c r="N13" i="8"/>
  <c r="K35" i="8"/>
  <c r="N16" i="8"/>
  <c r="K14" i="8"/>
  <c r="Q29" i="8"/>
  <c r="N20" i="8"/>
  <c r="Q13" i="8"/>
  <c r="N33" i="8"/>
  <c r="K29" i="8"/>
  <c r="T39" i="8"/>
  <c r="Q28" i="8"/>
  <c r="T30" i="8"/>
  <c r="T27" i="8"/>
  <c r="N25" i="8"/>
  <c r="Q30" i="8"/>
  <c r="L23" i="8"/>
  <c r="L33" i="8"/>
  <c r="K33" i="8"/>
  <c r="N31" i="8"/>
  <c r="Q33" i="8"/>
  <c r="T31" i="8"/>
  <c r="Q36" i="8"/>
  <c r="K15" i="8"/>
  <c r="T26" i="8"/>
  <c r="N14" i="8"/>
  <c r="N28" i="8"/>
  <c r="T17" i="8"/>
  <c r="K36" i="8"/>
  <c r="K25" i="8"/>
  <c r="N23" i="8"/>
  <c r="Q25" i="8"/>
  <c r="T23" i="8"/>
  <c r="K23" i="8"/>
  <c r="T38" i="8"/>
  <c r="T22" i="8"/>
  <c r="N22" i="8"/>
  <c r="N36" i="8"/>
  <c r="K26" i="8"/>
  <c r="Q18" i="8"/>
  <c r="K21" i="8"/>
  <c r="N19" i="8"/>
  <c r="Q21" i="8"/>
  <c r="Q32" i="8"/>
  <c r="N37" i="8"/>
  <c r="T18" i="8"/>
  <c r="N26" i="8"/>
  <c r="Q26" i="8"/>
  <c r="K34" i="8"/>
  <c r="Q35" i="8"/>
  <c r="K17" i="8"/>
  <c r="N15" i="8"/>
  <c r="Q17" i="8"/>
  <c r="T19" i="8"/>
  <c r="K31" i="8"/>
  <c r="Q20" i="8"/>
  <c r="T34" i="8"/>
  <c r="N17" i="8"/>
  <c r="N30" i="8"/>
  <c r="T13" i="8"/>
  <c r="K38" i="8"/>
  <c r="Q27" i="8"/>
  <c r="Q19" i="8"/>
  <c r="K20" i="8"/>
  <c r="K37" i="8"/>
  <c r="N35" i="8"/>
  <c r="Q37" i="8"/>
  <c r="T35" i="8"/>
  <c r="K27" i="8"/>
  <c r="Q16" i="8"/>
  <c r="N29" i="8"/>
  <c r="Q38" i="8"/>
  <c r="N24" i="8"/>
  <c r="K24" i="8"/>
  <c r="R35" i="8"/>
  <c r="R18" i="8"/>
  <c r="U29" i="8"/>
  <c r="L21" i="8"/>
  <c r="L24" i="8"/>
  <c r="O33" i="8"/>
  <c r="U32" i="8"/>
  <c r="U17" i="8"/>
  <c r="R30" i="8"/>
  <c r="L17" i="8"/>
  <c r="L39" i="8"/>
  <c r="L19" i="8"/>
  <c r="L22" i="8"/>
  <c r="O19" i="8"/>
  <c r="R34" i="8"/>
  <c r="U27" i="8"/>
  <c r="O13" i="8"/>
  <c r="R31" i="8"/>
  <c r="R19" i="8"/>
  <c r="U16" i="8"/>
  <c r="R33" i="8"/>
  <c r="O34" i="8"/>
  <c r="O31" i="8"/>
  <c r="R25" i="8"/>
  <c r="L16" i="8"/>
  <c r="L35" i="8"/>
  <c r="O23" i="8"/>
  <c r="U30" i="8"/>
  <c r="U18" i="8"/>
  <c r="U28" i="8"/>
  <c r="O24" i="8"/>
  <c r="L32" i="8"/>
  <c r="U23" i="8"/>
  <c r="U38" i="8"/>
  <c r="O29" i="8"/>
  <c r="R29" i="8"/>
  <c r="R17" i="8"/>
  <c r="R24" i="8"/>
  <c r="O18" i="8"/>
  <c r="L38" i="8"/>
  <c r="R15" i="8"/>
  <c r="U26" i="8"/>
  <c r="U13" i="8"/>
  <c r="U14" i="8"/>
  <c r="R28" i="8"/>
  <c r="O15" i="8"/>
  <c r="O20" i="8"/>
  <c r="L29" i="8"/>
  <c r="L28" i="8"/>
  <c r="O17" i="8"/>
  <c r="L26" i="8"/>
  <c r="R13" i="8"/>
  <c r="U25" i="8"/>
  <c r="R14" i="8"/>
  <c r="U31" i="8"/>
  <c r="L27" i="8"/>
  <c r="U34" i="8"/>
  <c r="J29" i="8"/>
  <c r="P29" i="8"/>
  <c r="M29" i="8"/>
  <c r="L18" i="8"/>
  <c r="O38" i="8"/>
  <c r="U20" i="8"/>
  <c r="U37" i="8"/>
  <c r="U24" i="8"/>
  <c r="K22" i="8"/>
  <c r="T24" i="8"/>
  <c r="R32" i="8"/>
  <c r="R38" i="8"/>
  <c r="T37" i="8"/>
  <c r="Q23" i="8"/>
  <c r="O36" i="8"/>
  <c r="U39" i="8"/>
  <c r="U19" i="8"/>
  <c r="L15" i="8"/>
  <c r="O21" i="8"/>
  <c r="L30" i="8"/>
  <c r="R23" i="8"/>
  <c r="O35" i="8"/>
  <c r="U36" i="8"/>
  <c r="M20" i="8"/>
  <c r="K16" i="8"/>
  <c r="R37" i="8"/>
  <c r="R21" i="8"/>
  <c r="R36" i="8"/>
  <c r="M16" i="8"/>
  <c r="Q34" i="8"/>
  <c r="Q39" i="8"/>
  <c r="O14" i="8"/>
  <c r="J21" i="8"/>
  <c r="M21" i="8"/>
  <c r="S33" i="8"/>
  <c r="P33" i="8"/>
  <c r="M35" i="8"/>
  <c r="M23" i="8"/>
  <c r="M31" i="8"/>
  <c r="M15" i="8"/>
  <c r="O22" i="8"/>
  <c r="S38" i="8"/>
  <c r="L36" i="8"/>
  <c r="L20" i="8"/>
  <c r="U15" i="8"/>
  <c r="O37" i="8"/>
  <c r="O25" i="8"/>
  <c r="L34" i="8"/>
  <c r="R27" i="8"/>
  <c r="N21" i="8"/>
  <c r="T14" i="8"/>
  <c r="T25" i="8"/>
  <c r="N34" i="8"/>
  <c r="U33" i="8"/>
  <c r="O39" i="8"/>
  <c r="M36" i="8"/>
  <c r="L37" i="8"/>
  <c r="K18" i="8"/>
  <c r="K28" i="8"/>
  <c r="R16" i="8"/>
  <c r="R22" i="8"/>
  <c r="M24" i="8"/>
  <c r="Q31" i="8"/>
  <c r="O26" i="8"/>
  <c r="U35" i="8"/>
  <c r="L31" i="8"/>
  <c r="J37" i="8"/>
  <c r="M37" i="8"/>
  <c r="M25" i="8"/>
  <c r="S25" i="8"/>
  <c r="J25" i="8"/>
  <c r="P25" i="8"/>
  <c r="R39" i="8"/>
  <c r="L14" i="8"/>
  <c r="Q22" i="8"/>
  <c r="T32" i="8"/>
  <c r="T16" i="8"/>
  <c r="N38" i="8"/>
  <c r="T29" i="8"/>
  <c r="U21" i="8"/>
  <c r="T36" i="8"/>
  <c r="T20" i="8"/>
  <c r="T33" i="8"/>
  <c r="K30" i="8"/>
  <c r="K32" i="8"/>
  <c r="R20" i="8"/>
  <c r="R26" i="8"/>
  <c r="T21" i="8"/>
  <c r="Q15" i="8"/>
  <c r="O16" i="8"/>
  <c r="O30" i="8"/>
  <c r="J17" i="8"/>
  <c r="M17" i="8"/>
  <c r="P17" i="8"/>
  <c r="U22" i="8"/>
  <c r="O28" i="8"/>
  <c r="T13" i="7"/>
  <c r="U13" i="7"/>
  <c r="W34" i="7" l="1"/>
  <c r="X14" i="7"/>
  <c r="X28" i="7"/>
  <c r="W25" i="7"/>
  <c r="X22" i="7"/>
  <c r="W14" i="7"/>
  <c r="W16" i="7"/>
  <c r="X19" i="7"/>
  <c r="W15" i="7"/>
  <c r="AJ13" i="7"/>
  <c r="W22" i="7"/>
  <c r="X15" i="7"/>
  <c r="W19" i="7"/>
  <c r="W28" i="7"/>
  <c r="W31" i="7"/>
  <c r="X33" i="11"/>
  <c r="W23" i="11"/>
  <c r="W32" i="10"/>
  <c r="Y13" i="10"/>
  <c r="W15" i="10"/>
  <c r="W18" i="10"/>
  <c r="Y17" i="10"/>
  <c r="M22" i="12"/>
  <c r="J25" i="9"/>
  <c r="P13" i="9"/>
  <c r="Y31" i="13"/>
  <c r="W29" i="13"/>
  <c r="P13" i="12"/>
  <c r="P25" i="12"/>
  <c r="S31" i="12"/>
  <c r="X17" i="11"/>
  <c r="X21" i="11"/>
  <c r="W14" i="10"/>
  <c r="W23" i="10"/>
  <c r="W29" i="10"/>
  <c r="Y22" i="10"/>
  <c r="W38" i="10"/>
  <c r="Y36" i="10"/>
  <c r="N26" i="10"/>
  <c r="Q21" i="10"/>
  <c r="K14" i="10"/>
  <c r="K17" i="10"/>
  <c r="K18" i="10"/>
  <c r="Q22" i="10"/>
  <c r="K20" i="10"/>
  <c r="T14" i="10"/>
  <c r="T18" i="10"/>
  <c r="K21" i="10"/>
  <c r="N22" i="10"/>
  <c r="Q15" i="10"/>
  <c r="Q16" i="10"/>
  <c r="Q19" i="10"/>
  <c r="Q20" i="10"/>
  <c r="T13" i="10"/>
  <c r="Q23" i="10"/>
  <c r="Q13" i="10"/>
  <c r="Q14" i="10"/>
  <c r="Q17" i="10"/>
  <c r="Q18" i="10"/>
  <c r="T20" i="10"/>
  <c r="K23" i="10"/>
  <c r="T16" i="10"/>
  <c r="T22" i="10"/>
  <c r="N18" i="10"/>
  <c r="N14" i="10"/>
  <c r="K16" i="10"/>
  <c r="N17" i="10"/>
  <c r="T23" i="10"/>
  <c r="T17" i="10"/>
  <c r="K15" i="10"/>
  <c r="N19" i="10"/>
  <c r="T21" i="10"/>
  <c r="K22" i="10"/>
  <c r="N23" i="10"/>
  <c r="N20" i="10"/>
  <c r="N16" i="10"/>
  <c r="T19" i="10"/>
  <c r="N21" i="10"/>
  <c r="K19" i="10"/>
  <c r="N13" i="10"/>
  <c r="T15" i="10"/>
  <c r="N15" i="10"/>
  <c r="J17" i="9"/>
  <c r="M31" i="12"/>
  <c r="M28" i="12"/>
  <c r="P33" i="12"/>
  <c r="X27" i="11"/>
  <c r="W20" i="11"/>
  <c r="X31" i="11"/>
  <c r="W24" i="11"/>
  <c r="Y30" i="10"/>
  <c r="Y39" i="10"/>
  <c r="Y16" i="10"/>
  <c r="W24" i="10"/>
  <c r="W26" i="10"/>
  <c r="Y38" i="10"/>
  <c r="Y20" i="10"/>
  <c r="Y26" i="10"/>
  <c r="Y23" i="10"/>
  <c r="Y35" i="10"/>
  <c r="Y29" i="10"/>
  <c r="Y18" i="10"/>
  <c r="Y21" i="10"/>
  <c r="W36" i="10"/>
  <c r="W20" i="10"/>
  <c r="Y33" i="10"/>
  <c r="Y27" i="10"/>
  <c r="Y32" i="10"/>
  <c r="W21" i="10"/>
  <c r="Y19" i="10"/>
  <c r="Y34" i="10"/>
  <c r="W39" i="10"/>
  <c r="Y31" i="10"/>
  <c r="W33" i="10"/>
  <c r="W27" i="10"/>
  <c r="W30" i="10"/>
  <c r="W17" i="10"/>
  <c r="Y25" i="10"/>
  <c r="Y37" i="10"/>
  <c r="W35" i="10"/>
  <c r="Y24" i="10"/>
  <c r="Y28" i="10"/>
  <c r="W13" i="7"/>
  <c r="X35" i="7"/>
  <c r="Y32" i="7"/>
  <c r="Y36" i="7"/>
  <c r="W38" i="7"/>
  <c r="Y37" i="7"/>
  <c r="Y21" i="7"/>
  <c r="Y20" i="7"/>
  <c r="X18" i="7"/>
  <c r="W36" i="7"/>
  <c r="Y35" i="7"/>
  <c r="Y24" i="7"/>
  <c r="Y29" i="7"/>
  <c r="Y18" i="7"/>
  <c r="Y17" i="7"/>
  <c r="Y26" i="7"/>
  <c r="Y23" i="7"/>
  <c r="Y25" i="7"/>
  <c r="Y34" i="7"/>
  <c r="Y31" i="7"/>
  <c r="Y33" i="7"/>
  <c r="Y39" i="7"/>
  <c r="Y28" i="7"/>
  <c r="Y30" i="7"/>
  <c r="Y19" i="7"/>
  <c r="Y38" i="7"/>
  <c r="Y27" i="7"/>
  <c r="X24" i="7"/>
  <c r="X20" i="7"/>
  <c r="X23" i="7"/>
  <c r="X32" i="7"/>
  <c r="X26" i="7"/>
  <c r="X31" i="7"/>
  <c r="X17" i="7"/>
  <c r="X34" i="7"/>
  <c r="X27" i="7"/>
  <c r="X36" i="7"/>
  <c r="X39" i="7"/>
  <c r="X25" i="7"/>
  <c r="X21" i="7"/>
  <c r="X33" i="7"/>
  <c r="X30" i="7"/>
  <c r="X29" i="7"/>
  <c r="X38" i="7"/>
  <c r="X37" i="7"/>
  <c r="X16" i="7"/>
  <c r="W18" i="7"/>
  <c r="W20" i="7"/>
  <c r="W17" i="7"/>
  <c r="W26" i="7"/>
  <c r="W27" i="7"/>
  <c r="W33" i="7"/>
  <c r="W35" i="7"/>
  <c r="W23" i="7"/>
  <c r="W24" i="7"/>
  <c r="W39" i="7"/>
  <c r="W30" i="7"/>
  <c r="W21" i="7"/>
  <c r="W32" i="7"/>
  <c r="W29" i="7"/>
  <c r="Q34" i="15"/>
  <c r="Q16" i="15"/>
  <c r="R38" i="15"/>
  <c r="R34" i="15"/>
  <c r="S22" i="15"/>
  <c r="S28" i="15"/>
  <c r="R22" i="14"/>
  <c r="S30" i="14"/>
  <c r="Q24" i="14"/>
  <c r="S18" i="14"/>
  <c r="Q22" i="14"/>
  <c r="S15" i="14"/>
  <c r="S21" i="14"/>
  <c r="R31" i="14"/>
  <c r="R39" i="14"/>
  <c r="R25" i="14"/>
  <c r="Q29" i="14"/>
  <c r="Q30" i="14"/>
  <c r="S26" i="14"/>
  <c r="S37" i="14"/>
  <c r="S27" i="14"/>
  <c r="Q38" i="14"/>
  <c r="R24" i="14"/>
  <c r="R14" i="14"/>
  <c r="R20" i="14"/>
  <c r="Q16" i="14"/>
  <c r="Q36" i="14"/>
  <c r="W36" i="13"/>
  <c r="W24" i="13"/>
  <c r="W18" i="13"/>
  <c r="Y38" i="13"/>
  <c r="Y20" i="13"/>
  <c r="W38" i="13"/>
  <c r="Y17" i="13"/>
  <c r="Y26" i="13"/>
  <c r="N13" i="13"/>
  <c r="N37" i="13"/>
  <c r="W30" i="13"/>
  <c r="W20" i="13"/>
  <c r="W21" i="13"/>
  <c r="Y22" i="13"/>
  <c r="Y18" i="13"/>
  <c r="Y19" i="13"/>
  <c r="Y23" i="13"/>
  <c r="Y33" i="13"/>
  <c r="Y36" i="13"/>
  <c r="Y28" i="13"/>
  <c r="Y30" i="13"/>
  <c r="W17" i="13"/>
  <c r="W39" i="13"/>
  <c r="Y24" i="13"/>
  <c r="Y21" i="13"/>
  <c r="Y39" i="13"/>
  <c r="Y25" i="13"/>
  <c r="Y32" i="13"/>
  <c r="Y37" i="13"/>
  <c r="Y34" i="13"/>
  <c r="Y16" i="13"/>
  <c r="Y35" i="13"/>
  <c r="Y29" i="13"/>
  <c r="Y14" i="13"/>
  <c r="Y15" i="13"/>
  <c r="Y27" i="13"/>
  <c r="N29" i="13"/>
  <c r="N26" i="13"/>
  <c r="N15" i="13"/>
  <c r="N38" i="13"/>
  <c r="N35" i="13"/>
  <c r="N36" i="13"/>
  <c r="N18" i="13"/>
  <c r="N30" i="13"/>
  <c r="N21" i="13"/>
  <c r="N25" i="13"/>
  <c r="N24" i="13"/>
  <c r="N20" i="13"/>
  <c r="W35" i="13"/>
  <c r="W26" i="13"/>
  <c r="W33" i="13"/>
  <c r="W23" i="13"/>
  <c r="W14" i="13"/>
  <c r="W27" i="13"/>
  <c r="N19" i="13"/>
  <c r="N23" i="13"/>
  <c r="N22" i="13"/>
  <c r="N33" i="13"/>
  <c r="T13" i="13"/>
  <c r="Q37" i="13"/>
  <c r="T25" i="13"/>
  <c r="Q34" i="13"/>
  <c r="K19" i="13"/>
  <c r="Q35" i="13"/>
  <c r="N31" i="13"/>
  <c r="N14" i="13"/>
  <c r="N28" i="13"/>
  <c r="Q32" i="13"/>
  <c r="N17" i="13"/>
  <c r="Q38" i="13"/>
  <c r="Q21" i="13"/>
  <c r="K38" i="13"/>
  <c r="T29" i="13"/>
  <c r="T23" i="13"/>
  <c r="Q19" i="13"/>
  <c r="Q26" i="13"/>
  <c r="Q20" i="13"/>
  <c r="T28" i="13"/>
  <c r="K18" i="13"/>
  <c r="Q15" i="13"/>
  <c r="T30" i="13"/>
  <c r="K39" i="13"/>
  <c r="K28" i="13"/>
  <c r="K22" i="13"/>
  <c r="T38" i="13"/>
  <c r="T33" i="13"/>
  <c r="K23" i="13"/>
  <c r="Q14" i="13"/>
  <c r="T14" i="13"/>
  <c r="K25" i="13"/>
  <c r="K33" i="13"/>
  <c r="K20" i="13"/>
  <c r="Q16" i="13"/>
  <c r="T32" i="13"/>
  <c r="Q25" i="13"/>
  <c r="K26" i="13"/>
  <c r="K16" i="13"/>
  <c r="T34" i="13"/>
  <c r="T17" i="13"/>
  <c r="Q23" i="13"/>
  <c r="T39" i="13"/>
  <c r="Q18" i="13"/>
  <c r="Q30" i="13"/>
  <c r="N32" i="13"/>
  <c r="T16" i="13"/>
  <c r="Q28" i="13"/>
  <c r="K24" i="13"/>
  <c r="T20" i="13"/>
  <c r="Q13" i="13"/>
  <c r="K15" i="13"/>
  <c r="T37" i="13"/>
  <c r="T31" i="13"/>
  <c r="Q29" i="13"/>
  <c r="K30" i="13"/>
  <c r="T26" i="13"/>
  <c r="T21" i="13"/>
  <c r="Q39" i="13"/>
  <c r="K31" i="13"/>
  <c r="K37" i="13"/>
  <c r="T27" i="13"/>
  <c r="K17" i="13"/>
  <c r="Q36" i="13"/>
  <c r="K32" i="13"/>
  <c r="Q17" i="13"/>
  <c r="K34" i="13"/>
  <c r="K21" i="13"/>
  <c r="T36" i="13"/>
  <c r="Q33" i="13"/>
  <c r="T22" i="13"/>
  <c r="T15" i="13"/>
  <c r="K29" i="13"/>
  <c r="T35" i="13"/>
  <c r="Q31" i="13"/>
  <c r="K14" i="13"/>
  <c r="K27" i="13"/>
  <c r="Q22" i="13"/>
  <c r="Q24" i="13"/>
  <c r="K36" i="13"/>
  <c r="T24" i="13"/>
  <c r="T18" i="13"/>
  <c r="N39" i="13"/>
  <c r="T19" i="13"/>
  <c r="K35" i="13"/>
  <c r="Q27" i="13"/>
  <c r="N34" i="13"/>
  <c r="W32" i="13"/>
  <c r="N16" i="13"/>
  <c r="W15" i="13"/>
  <c r="W19" i="13"/>
  <c r="S29" i="12"/>
  <c r="M13" i="12"/>
  <c r="S17" i="12"/>
  <c r="P35" i="12"/>
  <c r="J34" i="12"/>
  <c r="S36" i="12"/>
  <c r="J36" i="12"/>
  <c r="M21" i="12"/>
  <c r="J31" i="12"/>
  <c r="M29" i="12"/>
  <c r="S14" i="12"/>
  <c r="J33" i="12"/>
  <c r="S38" i="12"/>
  <c r="S22" i="12"/>
  <c r="J35" i="12"/>
  <c r="S28" i="12"/>
  <c r="M19" i="12"/>
  <c r="M27" i="12"/>
  <c r="S24" i="12"/>
  <c r="M37" i="12"/>
  <c r="J22" i="12"/>
  <c r="P19" i="12"/>
  <c r="P27" i="12"/>
  <c r="T37" i="12"/>
  <c r="M23" i="12"/>
  <c r="J27" i="12"/>
  <c r="J23" i="12"/>
  <c r="S27" i="12"/>
  <c r="M17" i="12"/>
  <c r="S18" i="12"/>
  <c r="M36" i="12"/>
  <c r="S32" i="12"/>
  <c r="P38" i="12"/>
  <c r="P32" i="12"/>
  <c r="J19" i="12"/>
  <c r="M39" i="12"/>
  <c r="S23" i="12"/>
  <c r="S16" i="12"/>
  <c r="S30" i="12"/>
  <c r="M18" i="12"/>
  <c r="J14" i="12"/>
  <c r="P15" i="12"/>
  <c r="S33" i="12"/>
  <c r="S19" i="12"/>
  <c r="J37" i="12"/>
  <c r="M25" i="12"/>
  <c r="M34" i="12"/>
  <c r="M30" i="12"/>
  <c r="J18" i="12"/>
  <c r="P24" i="12"/>
  <c r="J17" i="12"/>
  <c r="S13" i="12"/>
  <c r="M38" i="12"/>
  <c r="M14" i="12"/>
  <c r="J15" i="12"/>
  <c r="S26" i="12"/>
  <c r="M24" i="12"/>
  <c r="S34" i="12"/>
  <c r="J30" i="12"/>
  <c r="J24" i="12"/>
  <c r="M32" i="12"/>
  <c r="M33" i="12"/>
  <c r="P14" i="12"/>
  <c r="M35" i="12"/>
  <c r="P21" i="12"/>
  <c r="M20" i="12"/>
  <c r="J16" i="12"/>
  <c r="J21" i="12"/>
  <c r="S15" i="12"/>
  <c r="P39" i="12"/>
  <c r="J20" i="12"/>
  <c r="M26" i="12"/>
  <c r="S20" i="12"/>
  <c r="J38" i="12"/>
  <c r="J39" i="12"/>
  <c r="M16" i="12"/>
  <c r="P26" i="12"/>
  <c r="S21" i="12"/>
  <c r="J25" i="12"/>
  <c r="P30" i="12"/>
  <c r="P18" i="12"/>
  <c r="P29" i="12"/>
  <c r="J28" i="12"/>
  <c r="P22" i="12"/>
  <c r="S35" i="12"/>
  <c r="J29" i="12"/>
  <c r="S39" i="12"/>
  <c r="P23" i="12"/>
  <c r="J26" i="12"/>
  <c r="P28" i="12"/>
  <c r="J32" i="12"/>
  <c r="P20" i="12"/>
  <c r="P37" i="12"/>
  <c r="P34" i="12"/>
  <c r="P17" i="12"/>
  <c r="S25" i="12"/>
  <c r="M15" i="12"/>
  <c r="L26" i="12"/>
  <c r="L31" i="12"/>
  <c r="L36" i="12"/>
  <c r="T13" i="12"/>
  <c r="T21" i="12"/>
  <c r="T39" i="12"/>
  <c r="T38" i="12"/>
  <c r="T35" i="12"/>
  <c r="T17" i="12"/>
  <c r="T25" i="12"/>
  <c r="T27" i="12"/>
  <c r="T33" i="12"/>
  <c r="T31" i="12"/>
  <c r="T24" i="12"/>
  <c r="L15" i="12"/>
  <c r="T16" i="12"/>
  <c r="O38" i="12"/>
  <c r="O24" i="12"/>
  <c r="U14" i="12"/>
  <c r="U19" i="12"/>
  <c r="L39" i="12"/>
  <c r="R26" i="12"/>
  <c r="U28" i="12"/>
  <c r="R21" i="12"/>
  <c r="O33" i="12"/>
  <c r="L21" i="12"/>
  <c r="U32" i="12"/>
  <c r="O35" i="12"/>
  <c r="O18" i="12"/>
  <c r="L20" i="12"/>
  <c r="L28" i="12"/>
  <c r="R35" i="12"/>
  <c r="U27" i="12"/>
  <c r="O34" i="12"/>
  <c r="O13" i="12"/>
  <c r="O15" i="12"/>
  <c r="U39" i="12"/>
  <c r="L27" i="12"/>
  <c r="O17" i="12"/>
  <c r="U33" i="12"/>
  <c r="R22" i="12"/>
  <c r="L33" i="12"/>
  <c r="O25" i="12"/>
  <c r="O30" i="12"/>
  <c r="O27" i="12"/>
  <c r="O32" i="12"/>
  <c r="R13" i="12"/>
  <c r="R36" i="12"/>
  <c r="U31" i="12"/>
  <c r="R18" i="12"/>
  <c r="U17" i="12"/>
  <c r="R14" i="12"/>
  <c r="R33" i="12"/>
  <c r="U25" i="12"/>
  <c r="U22" i="12"/>
  <c r="U30" i="12"/>
  <c r="R16" i="12"/>
  <c r="O14" i="12"/>
  <c r="R28" i="12"/>
  <c r="U36" i="12"/>
  <c r="R34" i="12"/>
  <c r="U20" i="12"/>
  <c r="R17" i="12"/>
  <c r="O29" i="12"/>
  <c r="R30" i="12"/>
  <c r="L14" i="12"/>
  <c r="R25" i="12"/>
  <c r="U24" i="12"/>
  <c r="O23" i="12"/>
  <c r="O31" i="12"/>
  <c r="O22" i="12"/>
  <c r="R23" i="12"/>
  <c r="R31" i="12"/>
  <c r="R39" i="12"/>
  <c r="L23" i="12"/>
  <c r="L18" i="12"/>
  <c r="U34" i="12"/>
  <c r="O36" i="12"/>
  <c r="R20" i="12"/>
  <c r="U23" i="12"/>
  <c r="R15" i="12"/>
  <c r="R38" i="12"/>
  <c r="U29" i="12"/>
  <c r="U15" i="12"/>
  <c r="O37" i="12"/>
  <c r="U38" i="12"/>
  <c r="L16" i="12"/>
  <c r="L24" i="12"/>
  <c r="L32" i="12"/>
  <c r="U21" i="12"/>
  <c r="O19" i="12"/>
  <c r="O16" i="12"/>
  <c r="R32" i="12"/>
  <c r="U13" i="12"/>
  <c r="R29" i="12"/>
  <c r="U37" i="12"/>
  <c r="O39" i="12"/>
  <c r="R19" i="12"/>
  <c r="O28" i="12"/>
  <c r="R24" i="12"/>
  <c r="U35" i="12"/>
  <c r="O21" i="12"/>
  <c r="R37" i="12"/>
  <c r="U16" i="12"/>
  <c r="U18" i="12"/>
  <c r="U26" i="12"/>
  <c r="O26" i="12"/>
  <c r="O20" i="12"/>
  <c r="R27" i="12"/>
  <c r="L19" i="12"/>
  <c r="L22" i="12"/>
  <c r="T26" i="12"/>
  <c r="T30" i="12"/>
  <c r="T32" i="12"/>
  <c r="L29" i="12"/>
  <c r="L30" i="12"/>
  <c r="L37" i="12"/>
  <c r="T29" i="12"/>
  <c r="L34" i="12"/>
  <c r="L25" i="12"/>
  <c r="L35" i="12"/>
  <c r="L17" i="12"/>
  <c r="N14" i="12"/>
  <c r="Q14" i="12"/>
  <c r="N39" i="12"/>
  <c r="K26" i="12"/>
  <c r="N35" i="12"/>
  <c r="N19" i="12"/>
  <c r="N31" i="12"/>
  <c r="N24" i="12"/>
  <c r="Q18" i="12"/>
  <c r="T18" i="12"/>
  <c r="Q20" i="12"/>
  <c r="Q28" i="12"/>
  <c r="N26" i="12"/>
  <c r="Q33" i="12"/>
  <c r="K38" i="12"/>
  <c r="Q22" i="12"/>
  <c r="Q13" i="12"/>
  <c r="K30" i="12"/>
  <c r="T22" i="12"/>
  <c r="K21" i="12"/>
  <c r="K29" i="12"/>
  <c r="Q36" i="12"/>
  <c r="K20" i="12"/>
  <c r="T20" i="12"/>
  <c r="T28" i="12"/>
  <c r="T36" i="12"/>
  <c r="Q26" i="12"/>
  <c r="N18" i="12"/>
  <c r="Q25" i="12"/>
  <c r="N13" i="12"/>
  <c r="N28" i="12"/>
  <c r="K15" i="12"/>
  <c r="K14" i="12"/>
  <c r="K32" i="12"/>
  <c r="N21" i="12"/>
  <c r="N29" i="12"/>
  <c r="K13" i="12"/>
  <c r="N38" i="12"/>
  <c r="Q17" i="12"/>
  <c r="K23" i="12"/>
  <c r="N32" i="12"/>
  <c r="K36" i="12"/>
  <c r="N36" i="12"/>
  <c r="N37" i="12"/>
  <c r="K27" i="12"/>
  <c r="Q23" i="12"/>
  <c r="N15" i="12"/>
  <c r="Q15" i="12"/>
  <c r="Q24" i="12"/>
  <c r="Q32" i="12"/>
  <c r="K24" i="12"/>
  <c r="Q21" i="12"/>
  <c r="K28" i="12"/>
  <c r="N30" i="12"/>
  <c r="Q37" i="12"/>
  <c r="K39" i="12"/>
  <c r="Q27" i="12"/>
  <c r="K18" i="12"/>
  <c r="K35" i="12"/>
  <c r="K34" i="12"/>
  <c r="K19" i="12"/>
  <c r="K31" i="12"/>
  <c r="K37" i="12"/>
  <c r="N16" i="12"/>
  <c r="Q16" i="12"/>
  <c r="K25" i="12"/>
  <c r="K33" i="12"/>
  <c r="N34" i="12"/>
  <c r="N27" i="12"/>
  <c r="Q34" i="12"/>
  <c r="N22" i="12"/>
  <c r="Q29" i="12"/>
  <c r="Q39" i="12"/>
  <c r="Q35" i="12"/>
  <c r="Q30" i="12"/>
  <c r="Q19" i="12"/>
  <c r="N23" i="12"/>
  <c r="Q31" i="12"/>
  <c r="K17" i="12"/>
  <c r="K22" i="12"/>
  <c r="Q38" i="12"/>
  <c r="K16" i="12"/>
  <c r="N17" i="12"/>
  <c r="N25" i="12"/>
  <c r="N33" i="12"/>
  <c r="N20" i="12"/>
  <c r="T34" i="12"/>
  <c r="L38" i="12"/>
  <c r="T14" i="12"/>
  <c r="T19" i="12"/>
  <c r="T23" i="12"/>
  <c r="W33" i="11"/>
  <c r="W38" i="11"/>
  <c r="W29" i="11"/>
  <c r="X29" i="11"/>
  <c r="W21" i="11"/>
  <c r="X20" i="11"/>
  <c r="X18" i="11"/>
  <c r="X15" i="11"/>
  <c r="W36" i="11"/>
  <c r="W32" i="11"/>
  <c r="W14" i="11"/>
  <c r="X34" i="11"/>
  <c r="X30" i="11"/>
  <c r="X26" i="11"/>
  <c r="X36" i="11"/>
  <c r="X39" i="11"/>
  <c r="X38" i="11"/>
  <c r="X32" i="11"/>
  <c r="W30" i="11"/>
  <c r="W17" i="11"/>
  <c r="O31" i="11"/>
  <c r="O20" i="11"/>
  <c r="O24" i="11"/>
  <c r="O13" i="11"/>
  <c r="O38" i="11"/>
  <c r="O36" i="11"/>
  <c r="O25" i="11"/>
  <c r="O23" i="11"/>
  <c r="O14" i="11"/>
  <c r="O27" i="11"/>
  <c r="O15" i="11"/>
  <c r="O34" i="11"/>
  <c r="X14" i="11"/>
  <c r="X24" i="11"/>
  <c r="X25" i="11"/>
  <c r="X35" i="11"/>
  <c r="X23" i="11"/>
  <c r="W27" i="11"/>
  <c r="W35" i="11"/>
  <c r="X37" i="11"/>
  <c r="O32" i="11"/>
  <c r="R16" i="11"/>
  <c r="L30" i="11"/>
  <c r="L33" i="11"/>
  <c r="U34" i="11"/>
  <c r="U19" i="11"/>
  <c r="U33" i="11"/>
  <c r="R34" i="11"/>
  <c r="L35" i="11"/>
  <c r="U14" i="11"/>
  <c r="O37" i="11"/>
  <c r="O22" i="11"/>
  <c r="U39" i="11"/>
  <c r="R22" i="11"/>
  <c r="R15" i="11"/>
  <c r="L26" i="11"/>
  <c r="U30" i="11"/>
  <c r="U27" i="11"/>
  <c r="U28" i="11"/>
  <c r="R33" i="11"/>
  <c r="L39" i="11"/>
  <c r="U24" i="11"/>
  <c r="L31" i="11"/>
  <c r="U37" i="11"/>
  <c r="R27" i="11"/>
  <c r="L38" i="11"/>
  <c r="R39" i="11"/>
  <c r="R21" i="11"/>
  <c r="R19" i="11"/>
  <c r="L22" i="11"/>
  <c r="U26" i="11"/>
  <c r="U31" i="11"/>
  <c r="R20" i="11"/>
  <c r="O17" i="11"/>
  <c r="U20" i="11"/>
  <c r="U25" i="11"/>
  <c r="R37" i="11"/>
  <c r="L25" i="11"/>
  <c r="L28" i="11"/>
  <c r="R35" i="11"/>
  <c r="R36" i="11"/>
  <c r="U35" i="11"/>
  <c r="U13" i="11"/>
  <c r="R38" i="11"/>
  <c r="R13" i="11"/>
  <c r="R30" i="11"/>
  <c r="U17" i="11"/>
  <c r="L20" i="11"/>
  <c r="R25" i="11"/>
  <c r="R26" i="11"/>
  <c r="O26" i="11"/>
  <c r="L36" i="11"/>
  <c r="L37" i="11"/>
  <c r="R24" i="11"/>
  <c r="L21" i="11"/>
  <c r="U22" i="11"/>
  <c r="O16" i="11"/>
  <c r="L23" i="11"/>
  <c r="O29" i="11"/>
  <c r="L14" i="11"/>
  <c r="L13" i="11"/>
  <c r="O21" i="11"/>
  <c r="R18" i="11"/>
  <c r="R31" i="11"/>
  <c r="R32" i="11"/>
  <c r="L15" i="11"/>
  <c r="U18" i="11"/>
  <c r="L27" i="11"/>
  <c r="R14" i="11"/>
  <c r="U29" i="11"/>
  <c r="U36" i="11"/>
  <c r="U21" i="11"/>
  <c r="L19" i="11"/>
  <c r="O18" i="11"/>
  <c r="R28" i="11"/>
  <c r="U16" i="11"/>
  <c r="U32" i="11"/>
  <c r="R17" i="11"/>
  <c r="L34" i="11"/>
  <c r="L17" i="11"/>
  <c r="U38" i="11"/>
  <c r="U23" i="11"/>
  <c r="O33" i="11"/>
  <c r="U15" i="11"/>
  <c r="L16" i="11"/>
  <c r="R23" i="11"/>
  <c r="L32" i="11"/>
  <c r="L24" i="11"/>
  <c r="L18" i="11"/>
  <c r="R29" i="11"/>
  <c r="L29" i="11"/>
  <c r="O19" i="11"/>
  <c r="O39" i="11"/>
  <c r="W18" i="11"/>
  <c r="W15" i="11"/>
  <c r="W26" i="11"/>
  <c r="O28" i="11"/>
  <c r="O30" i="11"/>
  <c r="W39" i="11"/>
  <c r="N33" i="10"/>
  <c r="N34" i="10"/>
  <c r="N37" i="10"/>
  <c r="N32" i="10"/>
  <c r="N25" i="10"/>
  <c r="N39" i="10"/>
  <c r="N24" i="10"/>
  <c r="N38" i="10"/>
  <c r="N29" i="10"/>
  <c r="N35" i="10"/>
  <c r="N36" i="10"/>
  <c r="K34" i="10"/>
  <c r="Q27" i="10"/>
  <c r="T38" i="10"/>
  <c r="Q24" i="10"/>
  <c r="T26" i="10"/>
  <c r="K28" i="10"/>
  <c r="Q34" i="10"/>
  <c r="K30" i="10"/>
  <c r="T35" i="10"/>
  <c r="K24" i="10"/>
  <c r="K32" i="10"/>
  <c r="T36" i="10"/>
  <c r="K25" i="10"/>
  <c r="T24" i="10"/>
  <c r="K29" i="10"/>
  <c r="Q32" i="10"/>
  <c r="T25" i="10"/>
  <c r="T37" i="10"/>
  <c r="K39" i="10"/>
  <c r="Q31" i="10"/>
  <c r="N31" i="10"/>
  <c r="K36" i="10"/>
  <c r="T31" i="10"/>
  <c r="K35" i="10"/>
  <c r="T27" i="10"/>
  <c r="T30" i="10"/>
  <c r="Q25" i="10"/>
  <c r="Q33" i="10"/>
  <c r="K33" i="10"/>
  <c r="T33" i="10"/>
  <c r="Q26" i="10"/>
  <c r="K27" i="10"/>
  <c r="Q35" i="10"/>
  <c r="N27" i="10"/>
  <c r="T29" i="10"/>
  <c r="Q30" i="10"/>
  <c r="K31" i="10"/>
  <c r="Q39" i="10"/>
  <c r="Q28" i="10"/>
  <c r="T39" i="10"/>
  <c r="T32" i="10"/>
  <c r="K37" i="10"/>
  <c r="K26" i="10"/>
  <c r="N28" i="10"/>
  <c r="T34" i="10"/>
  <c r="K38" i="10"/>
  <c r="Q29" i="10"/>
  <c r="Q37" i="10"/>
  <c r="T28" i="10"/>
  <c r="Q36" i="10"/>
  <c r="Q38" i="10"/>
  <c r="N30" i="10"/>
  <c r="M39" i="9"/>
  <c r="S33" i="9"/>
  <c r="W33" i="9" s="1"/>
  <c r="P29" i="9"/>
  <c r="M29" i="9"/>
  <c r="J37" i="9"/>
  <c r="J29" i="9"/>
  <c r="M23" i="9"/>
  <c r="M17" i="9"/>
  <c r="S37" i="9"/>
  <c r="W37" i="9" s="1"/>
  <c r="P25" i="9"/>
  <c r="P33" i="9"/>
  <c r="P17" i="9"/>
  <c r="M16" i="9"/>
  <c r="S17" i="9"/>
  <c r="W17" i="9" s="1"/>
  <c r="M19" i="9"/>
  <c r="S29" i="9"/>
  <c r="W29" i="9" s="1"/>
  <c r="J13" i="9"/>
  <c r="M30" i="9"/>
  <c r="S18" i="9"/>
  <c r="W18" i="9" s="1"/>
  <c r="M37" i="9"/>
  <c r="M26" i="9"/>
  <c r="P21" i="9"/>
  <c r="M18" i="9"/>
  <c r="M33" i="9"/>
  <c r="J21" i="9"/>
  <c r="M13" i="9"/>
  <c r="P37" i="9"/>
  <c r="M35" i="9"/>
  <c r="S25" i="9"/>
  <c r="W25" i="9" s="1"/>
  <c r="J33" i="9"/>
  <c r="M20" i="9"/>
  <c r="M21" i="9"/>
  <c r="S13" i="9"/>
  <c r="W13" i="9" s="1"/>
  <c r="M15" i="9"/>
  <c r="S21" i="9"/>
  <c r="W21" i="9" s="1"/>
  <c r="P23" i="9"/>
  <c r="P39" i="9"/>
  <c r="S38" i="9"/>
  <c r="W38" i="9" s="1"/>
  <c r="P16" i="9"/>
  <c r="S24" i="9"/>
  <c r="W24" i="9" s="1"/>
  <c r="P26" i="9"/>
  <c r="P34" i="9"/>
  <c r="M28" i="9"/>
  <c r="J26" i="9"/>
  <c r="M32" i="9"/>
  <c r="S19" i="9"/>
  <c r="W19" i="9" s="1"/>
  <c r="P27" i="9"/>
  <c r="P32" i="9"/>
  <c r="M14" i="9"/>
  <c r="P14" i="9"/>
  <c r="S34" i="9"/>
  <c r="W34" i="9" s="1"/>
  <c r="J15" i="9"/>
  <c r="P36" i="9"/>
  <c r="J36" i="9"/>
  <c r="P22" i="9"/>
  <c r="S14" i="9"/>
  <c r="W14" i="9" s="1"/>
  <c r="S35" i="9"/>
  <c r="W35" i="9" s="1"/>
  <c r="M38" i="9"/>
  <c r="P30" i="9"/>
  <c r="J14" i="9"/>
  <c r="S23" i="9"/>
  <c r="W23" i="9" s="1"/>
  <c r="S39" i="9"/>
  <c r="W39" i="9" s="1"/>
  <c r="S26" i="9"/>
  <c r="W26" i="9" s="1"/>
  <c r="P19" i="9"/>
  <c r="P35" i="9"/>
  <c r="P24" i="9"/>
  <c r="S32" i="9"/>
  <c r="W32" i="9" s="1"/>
  <c r="J24" i="9"/>
  <c r="M31" i="9"/>
  <c r="J23" i="9"/>
  <c r="J39" i="9"/>
  <c r="S22" i="9"/>
  <c r="W22" i="9" s="1"/>
  <c r="P31" i="9"/>
  <c r="S20" i="9"/>
  <c r="W20" i="9" s="1"/>
  <c r="J20" i="9"/>
  <c r="J19" i="9"/>
  <c r="J35" i="9"/>
  <c r="S31" i="9"/>
  <c r="W31" i="9" s="1"/>
  <c r="P20" i="9"/>
  <c r="S16" i="9"/>
  <c r="W16" i="9" s="1"/>
  <c r="S28" i="9"/>
  <c r="W28" i="9" s="1"/>
  <c r="P38" i="9"/>
  <c r="S30" i="9"/>
  <c r="W30" i="9" s="1"/>
  <c r="J27" i="9"/>
  <c r="J34" i="9"/>
  <c r="P28" i="9"/>
  <c r="S15" i="9"/>
  <c r="W15" i="9" s="1"/>
  <c r="S36" i="9"/>
  <c r="W36" i="9" s="1"/>
  <c r="J32" i="9"/>
  <c r="J16" i="9"/>
  <c r="J22" i="9"/>
  <c r="J38" i="9"/>
  <c r="J28" i="9"/>
  <c r="S27" i="9"/>
  <c r="W27" i="9" s="1"/>
  <c r="P15" i="9"/>
  <c r="J31" i="9"/>
  <c r="J30" i="9"/>
  <c r="M34" i="9"/>
  <c r="M36" i="9"/>
  <c r="J18" i="9"/>
  <c r="M22" i="9"/>
  <c r="M25" i="9"/>
  <c r="M27" i="9"/>
  <c r="M24" i="9"/>
  <c r="M33" i="8"/>
  <c r="S17" i="8"/>
  <c r="P37" i="8"/>
  <c r="M32" i="8"/>
  <c r="P13" i="8"/>
  <c r="J38" i="8"/>
  <c r="J33" i="8"/>
  <c r="J34" i="8"/>
  <c r="P27" i="8"/>
  <c r="S26" i="8"/>
  <c r="J16" i="8"/>
  <c r="S32" i="8"/>
  <c r="J30" i="8"/>
  <c r="M27" i="8"/>
  <c r="S14" i="8"/>
  <c r="M30" i="8"/>
  <c r="J28" i="8"/>
  <c r="J26" i="8"/>
  <c r="S27" i="8"/>
  <c r="S22" i="8"/>
  <c r="P20" i="8"/>
  <c r="S24" i="8"/>
  <c r="S19" i="8"/>
  <c r="P15" i="8"/>
  <c r="P31" i="8"/>
  <c r="J22" i="8"/>
  <c r="J27" i="8"/>
  <c r="P23" i="8"/>
  <c r="P19" i="8"/>
  <c r="P35" i="8"/>
  <c r="J20" i="8"/>
  <c r="S36" i="8"/>
  <c r="M26" i="8"/>
  <c r="J32" i="8"/>
  <c r="J18" i="8"/>
  <c r="P14" i="8"/>
  <c r="P30" i="8"/>
  <c r="P39" i="8"/>
  <c r="P28" i="8"/>
  <c r="S16" i="8"/>
  <c r="P16" i="8"/>
  <c r="S15" i="8"/>
  <c r="S31" i="8"/>
  <c r="J14" i="8"/>
  <c r="S30" i="8"/>
  <c r="M39" i="8"/>
  <c r="S23" i="8"/>
  <c r="S35" i="8"/>
  <c r="M14" i="8"/>
  <c r="S28" i="8"/>
  <c r="J15" i="8"/>
  <c r="J31" i="8"/>
  <c r="S34" i="8"/>
  <c r="S39" i="8"/>
  <c r="J23" i="8"/>
  <c r="J19" i="8"/>
  <c r="J35" i="8"/>
  <c r="P36" i="8"/>
  <c r="J24" i="8"/>
  <c r="P32" i="8"/>
  <c r="P18" i="8"/>
  <c r="P34" i="8"/>
  <c r="S18" i="8"/>
  <c r="J39" i="8"/>
  <c r="P26" i="8"/>
  <c r="P22" i="8"/>
  <c r="P24" i="8"/>
  <c r="J36" i="8"/>
  <c r="S20" i="8"/>
  <c r="S29" i="8"/>
  <c r="M38" i="8"/>
  <c r="M19" i="8"/>
  <c r="P21" i="8"/>
  <c r="S37" i="8"/>
  <c r="S13" i="8"/>
  <c r="P38" i="8"/>
  <c r="M28" i="8"/>
  <c r="S21" i="8"/>
  <c r="M34" i="8"/>
  <c r="M22" i="8"/>
  <c r="M18" i="8"/>
  <c r="X13" i="7" l="1"/>
  <c r="S32" i="14"/>
  <c r="S31" i="14"/>
  <c r="S20" i="14"/>
  <c r="S22" i="14"/>
  <c r="Q13" i="14"/>
  <c r="R21" i="14"/>
  <c r="Q19" i="14"/>
  <c r="R27" i="14"/>
  <c r="Q27" i="14"/>
  <c r="R23" i="14"/>
  <c r="Q17" i="14"/>
  <c r="Q35" i="14"/>
  <c r="S24" i="14"/>
  <c r="S35" i="14"/>
  <c r="S19" i="14"/>
  <c r="S33" i="14"/>
  <c r="S17" i="14"/>
  <c r="S36" i="14"/>
  <c r="S23" i="14"/>
  <c r="S14" i="14"/>
  <c r="S39" i="14"/>
  <c r="S25" i="14"/>
  <c r="S16" i="14"/>
  <c r="S29" i="14"/>
  <c r="S38" i="14"/>
  <c r="S34" i="14"/>
  <c r="S28" i="14"/>
  <c r="R34" i="14"/>
  <c r="R28" i="14"/>
  <c r="R38" i="14"/>
  <c r="R18" i="14"/>
  <c r="R35" i="14"/>
  <c r="Q15" i="14"/>
  <c r="R19" i="14"/>
  <c r="R15" i="14"/>
  <c r="R30" i="14"/>
  <c r="R33" i="14"/>
  <c r="R37" i="14"/>
  <c r="R29" i="14"/>
  <c r="R16" i="14"/>
  <c r="R36" i="14"/>
  <c r="R17" i="14"/>
  <c r="R26" i="14"/>
  <c r="R32" i="14"/>
  <c r="Q33" i="14"/>
  <c r="Q25" i="14"/>
  <c r="Q20" i="14"/>
  <c r="Q26" i="14"/>
  <c r="Q18" i="14"/>
  <c r="Q23" i="14"/>
  <c r="Q39" i="14"/>
  <c r="Q21" i="14"/>
  <c r="Q34" i="14"/>
  <c r="Q14" i="14"/>
  <c r="Q37" i="14"/>
  <c r="Q28" i="14"/>
  <c r="Q31" i="14"/>
  <c r="Q32" i="14"/>
  <c r="R13" i="14"/>
  <c r="S13" i="14"/>
  <c r="X29" i="10"/>
  <c r="X34" i="10"/>
  <c r="X24" i="10"/>
  <c r="X27" i="10"/>
  <c r="X39" i="10"/>
  <c r="X35" i="10"/>
  <c r="X21" i="10"/>
  <c r="X22" i="10"/>
  <c r="W36" i="12"/>
  <c r="X33" i="10"/>
  <c r="X31" i="10"/>
  <c r="X26" i="10"/>
  <c r="X32" i="10"/>
  <c r="X37" i="10"/>
  <c r="X23" i="10"/>
  <c r="X20" i="10"/>
  <c r="X30" i="10"/>
  <c r="X36" i="10"/>
  <c r="X18" i="10"/>
  <c r="X16" i="10"/>
  <c r="X17" i="10"/>
  <c r="X38" i="10"/>
  <c r="X15" i="10"/>
  <c r="X14" i="10"/>
  <c r="Q35" i="15"/>
  <c r="R29" i="15"/>
  <c r="Q37" i="15"/>
  <c r="S25" i="15"/>
  <c r="S35" i="15"/>
  <c r="R20" i="15"/>
  <c r="R22" i="15"/>
  <c r="R25" i="15"/>
  <c r="R21" i="15"/>
  <c r="R30" i="15"/>
  <c r="Q15" i="15"/>
  <c r="Q30" i="15"/>
  <c r="Q27" i="15"/>
  <c r="R36" i="15"/>
  <c r="R27" i="15"/>
  <c r="R23" i="15"/>
  <c r="Q33" i="15"/>
  <c r="Q32" i="15"/>
  <c r="Q28" i="15"/>
  <c r="S27" i="15"/>
  <c r="S16" i="15"/>
  <c r="S37" i="15"/>
  <c r="R16" i="15"/>
  <c r="R39" i="15"/>
  <c r="R13" i="15"/>
  <c r="R19" i="15"/>
  <c r="R35" i="15"/>
  <c r="R18" i="15"/>
  <c r="Q31" i="15"/>
  <c r="Q29" i="15"/>
  <c r="S23" i="15"/>
  <c r="S17" i="15"/>
  <c r="S29" i="15"/>
  <c r="R26" i="15"/>
  <c r="R17" i="15"/>
  <c r="R31" i="15"/>
  <c r="R28" i="15"/>
  <c r="R15" i="15"/>
  <c r="R14" i="15"/>
  <c r="Q36" i="15"/>
  <c r="Q24" i="15"/>
  <c r="Q39" i="15"/>
  <c r="Q18" i="15"/>
  <c r="Q17" i="15"/>
  <c r="Q38" i="15"/>
  <c r="Q19" i="15"/>
  <c r="S19" i="15"/>
  <c r="S13" i="15"/>
  <c r="S18" i="15"/>
  <c r="S21" i="15"/>
  <c r="S39" i="15"/>
  <c r="S14" i="15"/>
  <c r="S26" i="15"/>
  <c r="S31" i="15"/>
  <c r="R37" i="15"/>
  <c r="Q20" i="15"/>
  <c r="S38" i="15"/>
  <c r="Q26" i="15"/>
  <c r="S20" i="15"/>
  <c r="S34" i="15"/>
  <c r="Q14" i="15"/>
  <c r="S15" i="15"/>
  <c r="S32" i="15"/>
  <c r="R24" i="15"/>
  <c r="S30" i="15"/>
  <c r="Q21" i="15"/>
  <c r="Q23" i="15"/>
  <c r="S33" i="15"/>
  <c r="S36" i="15"/>
  <c r="R32" i="15"/>
  <c r="Q22" i="15"/>
  <c r="Q25" i="15"/>
  <c r="S24" i="15"/>
  <c r="R33" i="15"/>
  <c r="X36" i="13"/>
  <c r="X30" i="13"/>
  <c r="X14" i="13"/>
  <c r="X21" i="13"/>
  <c r="X29" i="13"/>
  <c r="X32" i="13"/>
  <c r="X24" i="13"/>
  <c r="X33" i="13"/>
  <c r="X20" i="13"/>
  <c r="X22" i="13"/>
  <c r="X25" i="13"/>
  <c r="X39" i="13"/>
  <c r="X17" i="13"/>
  <c r="X35" i="13"/>
  <c r="X27" i="13"/>
  <c r="X26" i="13"/>
  <c r="X38" i="13"/>
  <c r="X37" i="13"/>
  <c r="X23" i="13"/>
  <c r="X18" i="13"/>
  <c r="X15" i="13"/>
  <c r="W23" i="12"/>
  <c r="W17" i="12"/>
  <c r="W33" i="12"/>
  <c r="W35" i="12"/>
  <c r="W24" i="12"/>
  <c r="W18" i="12"/>
  <c r="W27" i="12"/>
  <c r="W30" i="12"/>
  <c r="W39" i="12"/>
  <c r="W14" i="12"/>
  <c r="W29" i="12"/>
  <c r="W38" i="12"/>
  <c r="W21" i="12"/>
  <c r="W20" i="12"/>
  <c r="W32" i="12"/>
  <c r="W15" i="12"/>
  <c r="W26" i="12"/>
  <c r="Y26" i="12"/>
  <c r="Y34" i="12"/>
  <c r="Y18" i="12"/>
  <c r="X37" i="12"/>
  <c r="X35" i="12"/>
  <c r="Y37" i="12"/>
  <c r="Y23" i="12"/>
  <c r="Y35" i="12"/>
  <c r="Y30" i="12"/>
  <c r="Y33" i="12"/>
  <c r="Y31" i="12"/>
  <c r="Y22" i="12"/>
  <c r="Y36" i="12"/>
  <c r="X39" i="12"/>
  <c r="X17" i="12"/>
  <c r="X20" i="12"/>
  <c r="X38" i="12"/>
  <c r="X23" i="12"/>
  <c r="X15" i="12"/>
  <c r="Y17" i="12"/>
  <c r="X31" i="12"/>
  <c r="Y25" i="12"/>
  <c r="Y21" i="12"/>
  <c r="X19" i="12"/>
  <c r="X27" i="12"/>
  <c r="X29" i="12"/>
  <c r="Y29" i="12"/>
  <c r="Y32" i="12"/>
  <c r="X21" i="12"/>
  <c r="X26" i="12"/>
  <c r="Y24" i="12"/>
  <c r="X33" i="12"/>
  <c r="X24" i="12"/>
  <c r="Y19" i="12"/>
  <c r="Y28" i="12"/>
  <c r="X25" i="12"/>
  <c r="X18" i="12"/>
  <c r="X36" i="12"/>
  <c r="X32" i="12"/>
  <c r="X30" i="12"/>
  <c r="Y27" i="12"/>
  <c r="Y20" i="12"/>
  <c r="Y38" i="12"/>
  <c r="X14" i="12"/>
  <c r="Y39" i="12"/>
  <c r="Y27" i="11"/>
  <c r="Y25" i="11"/>
  <c r="Y22" i="11"/>
  <c r="Y16" i="11"/>
  <c r="Y37" i="11"/>
  <c r="Y29" i="11"/>
  <c r="Y30" i="11"/>
  <c r="Y34" i="11"/>
  <c r="Y21" i="11"/>
  <c r="Y31" i="11"/>
  <c r="Y39" i="11"/>
  <c r="Y36" i="11"/>
  <c r="Y33" i="11"/>
  <c r="Y23" i="11"/>
  <c r="Y38" i="11"/>
  <c r="Y18" i="11"/>
  <c r="Y35" i="11"/>
  <c r="Y24" i="11"/>
  <c r="Y17" i="11"/>
  <c r="Y20" i="11"/>
  <c r="Y26" i="11"/>
  <c r="Y32" i="11"/>
  <c r="Y28" i="11"/>
</calcChain>
</file>

<file path=xl/sharedStrings.xml><?xml version="1.0" encoding="utf-8"?>
<sst xmlns="http://schemas.openxmlformats.org/spreadsheetml/2006/main" count="1247" uniqueCount="65">
  <si>
    <t>OM</t>
  </si>
  <si>
    <t>%</t>
  </si>
  <si>
    <t>P</t>
  </si>
  <si>
    <t>mg/kg</t>
  </si>
  <si>
    <t>K</t>
  </si>
  <si>
    <t xml:space="preserve">ระยะยังไม่ให้ผลผลิต 
</t>
  </si>
  <si>
    <t xml:space="preserve">   (อายุ 1-5 ปี)</t>
  </si>
  <si>
    <t>N</t>
  </si>
  <si>
    <t>P2O5</t>
  </si>
  <si>
    <t>K2O</t>
  </si>
  <si>
    <t>46-0-0</t>
  </si>
  <si>
    <t>18-46-0</t>
  </si>
  <si>
    <t>0-0-50</t>
  </si>
  <si>
    <t>&lt;2</t>
  </si>
  <si>
    <t>&lt;15</t>
  </si>
  <si>
    <t>&lt;50</t>
  </si>
  <si>
    <t>51-100</t>
  </si>
  <si>
    <t>&gt;100</t>
  </si>
  <si>
    <t>&gt;45</t>
  </si>
  <si>
    <t>2.0-3.0</t>
  </si>
  <si>
    <t>&gt;3</t>
  </si>
  <si>
    <t>ระยะบำรุงต้น</t>
  </si>
  <si>
    <t>(ช่วงตัดแต่งกิ่งหลังเก็บเกี่ยว)</t>
  </si>
  <si>
    <t>(กรัม/ต้น)</t>
  </si>
  <si>
    <t>ระยะสร้างตาดอก</t>
  </si>
  <si>
    <t>(ก่อนออกดอก 1-2 เดือน)</t>
  </si>
  <si>
    <t xml:space="preserve">ระยะบำรุงผล </t>
  </si>
  <si>
    <t>(หลังดอกบาน 1 เดือน)</t>
  </si>
  <si>
    <t xml:space="preserve">ระยะปรับปรุงคุณภาพ  </t>
  </si>
  <si>
    <t>(ก่อนเก็บเกี่ยว 2 เดือน)</t>
  </si>
  <si>
    <t xml:space="preserve">ปริมาณธาตุอาหารแนะนำ </t>
  </si>
  <si>
    <t>(ก./ต้น)</t>
  </si>
  <si>
    <t xml:space="preserve">ปริมาณปุ๋ยที่ต้องใช้ </t>
  </si>
  <si>
    <t>เหนียว</t>
  </si>
  <si>
    <t>ร่วนทราย</t>
  </si>
  <si>
    <t>สัดส่วนของธาตุอาหาร N:P:K ทั้งหมด เท่ากับ</t>
  </si>
  <si>
    <t>ระยะบำรุงต้น (กรัม/ต้น)</t>
  </si>
  <si>
    <t>ระยะสร้างตาดอก (กรัม/ต้น)</t>
  </si>
  <si>
    <t>ระยะปรับปรุงคุณภาพ (กรัม/ต้น)</t>
  </si>
  <si>
    <t>ระยะบำรุงผล (กรัม/ต้น)</t>
  </si>
  <si>
    <t>&lt;1.5</t>
  </si>
  <si>
    <t>1.5-2.5</t>
  </si>
  <si>
    <t>&gt;2.5</t>
  </si>
  <si>
    <t>ครั้งที่ 1</t>
  </si>
  <si>
    <t>ต้นฤดูฝน</t>
  </si>
  <si>
    <t>ครั้งที่ 2</t>
  </si>
  <si>
    <t>ปลายฤดูฝน</t>
  </si>
  <si>
    <t>0-0-60</t>
  </si>
  <si>
    <t>ครั้งที่ 1 ต้นฤดูฝน (กรัม/ต้น)</t>
  </si>
  <si>
    <t>ครั้งที่ 2 ปลายฤดูฝน (กรัม/ต้น)</t>
  </si>
  <si>
    <t>(กก./ต้น)</t>
  </si>
  <si>
    <t>หลังปลูก 1-3 เดือน</t>
  </si>
  <si>
    <t>(กก./ไร่)</t>
  </si>
  <si>
    <t>หลังปลูก 5-6 เดือน</t>
  </si>
  <si>
    <t>&lt;6</t>
  </si>
  <si>
    <t>6-45</t>
  </si>
  <si>
    <t>&lt;35</t>
  </si>
  <si>
    <t>35-140</t>
  </si>
  <si>
    <t>&gt;140</t>
  </si>
  <si>
    <t>ครั้งที่ 1 หลังปลูก 1-3 เดือน (กก./ไร่)</t>
  </si>
  <si>
    <t>ครั้งที่ 2 หลังปลูก 5-6 เดือน (กก./ไร่)</t>
  </si>
  <si>
    <t>**ปรับเป็นเลขจำนวนเต็มหลักร้อย</t>
  </si>
  <si>
    <t>21-0-0</t>
  </si>
  <si>
    <t>15-45</t>
  </si>
  <si>
    <t>50-100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</si>
</sst>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4"/>
      <color theme="1"/>
      <name val="TH SarabunPSK"/>
      <family val="2"/>
    </font>
    <font>
      <sz val="14"/>
      <color rgb="FFFF0000"/>
      <name val="TH SarabunPSK"/>
      <family val="2"/>
    </font>
    <font>
      <sz val="14"/>
      <name val="TH SarabunPSK"/>
      <family val="2"/>
    </font>
    <font>
      <sz val="14"/>
      <color rgb="FF0000FF"/>
      <name val="TH SarabunPSK"/>
      <family val="2"/>
    </font>
    <font>
      <sz val="14"/>
      <color theme="0"/>
      <name val="TH SarabunPSK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/>
    <xf numFmtId="0" fontId="1" fillId="0" borderId="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5" xfId="0" applyFont="1" applyBorder="1"/>
    <xf numFmtId="0" fontId="1" fillId="0" borderId="1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/>
    <xf numFmtId="0" fontId="1" fillId="0" borderId="12" xfId="0" applyFont="1" applyBorder="1"/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3" xfId="0" applyFont="1" applyBorder="1"/>
    <xf numFmtId="0" fontId="2" fillId="2" borderId="10" xfId="0" applyFont="1" applyFill="1" applyBorder="1"/>
    <xf numFmtId="0" fontId="2" fillId="2" borderId="5" xfId="0" applyFont="1" applyFill="1" applyBorder="1"/>
    <xf numFmtId="0" fontId="2" fillId="2" borderId="11" xfId="0" applyFont="1" applyFill="1" applyBorder="1"/>
    <xf numFmtId="0" fontId="2" fillId="0" borderId="0" xfId="0" applyFont="1"/>
    <xf numFmtId="0" fontId="2" fillId="4" borderId="11" xfId="0" applyFont="1" applyFill="1" applyBorder="1"/>
    <xf numFmtId="0" fontId="2" fillId="4" borderId="5" xfId="0" applyFont="1" applyFill="1" applyBorder="1"/>
    <xf numFmtId="0" fontId="2" fillId="3" borderId="11" xfId="0" applyFont="1" applyFill="1" applyBorder="1"/>
    <xf numFmtId="0" fontId="2" fillId="3" borderId="5" xfId="0" applyFont="1" applyFill="1" applyBorder="1"/>
    <xf numFmtId="16" fontId="2" fillId="9" borderId="11" xfId="0" applyNumberFormat="1" applyFont="1" applyFill="1" applyBorder="1"/>
    <xf numFmtId="0" fontId="2" fillId="9" borderId="5" xfId="0" applyFont="1" applyFill="1" applyBorder="1"/>
    <xf numFmtId="0" fontId="2" fillId="9" borderId="11" xfId="0" applyFont="1" applyFill="1" applyBorder="1"/>
    <xf numFmtId="16" fontId="2" fillId="10" borderId="11" xfId="0" applyNumberFormat="1" applyFont="1" applyFill="1" applyBorder="1"/>
    <xf numFmtId="0" fontId="2" fillId="10" borderId="5" xfId="0" applyFont="1" applyFill="1" applyBorder="1"/>
    <xf numFmtId="0" fontId="2" fillId="10" borderId="11" xfId="0" applyFont="1" applyFill="1" applyBorder="1"/>
    <xf numFmtId="16" fontId="2" fillId="11" borderId="11" xfId="0" applyNumberFormat="1" applyFont="1" applyFill="1" applyBorder="1"/>
    <xf numFmtId="0" fontId="2" fillId="11" borderId="5" xfId="0" applyFont="1" applyFill="1" applyBorder="1"/>
    <xf numFmtId="0" fontId="2" fillId="11" borderId="11" xfId="0" applyFont="1" applyFill="1" applyBorder="1"/>
    <xf numFmtId="16" fontId="4" fillId="5" borderId="11" xfId="0" applyNumberFormat="1" applyFont="1" applyFill="1" applyBorder="1"/>
    <xf numFmtId="0" fontId="2" fillId="5" borderId="5" xfId="0" applyFont="1" applyFill="1" applyBorder="1"/>
    <xf numFmtId="0" fontId="2" fillId="5" borderId="11" xfId="0" applyFont="1" applyFill="1" applyBorder="1"/>
    <xf numFmtId="16" fontId="4" fillId="7" borderId="11" xfId="0" applyNumberFormat="1" applyFont="1" applyFill="1" applyBorder="1"/>
    <xf numFmtId="0" fontId="2" fillId="7" borderId="5" xfId="0" applyFont="1" applyFill="1" applyBorder="1"/>
    <xf numFmtId="0" fontId="2" fillId="7" borderId="11" xfId="0" applyFont="1" applyFill="1" applyBorder="1"/>
    <xf numFmtId="16" fontId="4" fillId="6" borderId="11" xfId="0" applyNumberFormat="1" applyFont="1" applyFill="1" applyBorder="1"/>
    <xf numFmtId="0" fontId="2" fillId="6" borderId="5" xfId="0" applyFont="1" applyFill="1" applyBorder="1"/>
    <xf numFmtId="0" fontId="2" fillId="6" borderId="11" xfId="0" applyFont="1" applyFill="1" applyBorder="1"/>
    <xf numFmtId="16" fontId="4" fillId="6" borderId="12" xfId="0" applyNumberFormat="1" applyFont="1" applyFill="1" applyBorder="1"/>
    <xf numFmtId="0" fontId="2" fillId="6" borderId="7" xfId="0" applyFont="1" applyFill="1" applyBorder="1"/>
    <xf numFmtId="0" fontId="2" fillId="6" borderId="12" xfId="0" applyFont="1" applyFill="1" applyBorder="1"/>
    <xf numFmtId="0" fontId="1" fillId="0" borderId="8" xfId="0" applyFont="1" applyBorder="1"/>
    <xf numFmtId="0" fontId="3" fillId="0" borderId="0" xfId="0" applyFont="1"/>
    <xf numFmtId="0" fontId="1" fillId="0" borderId="1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" fontId="1" fillId="0" borderId="14" xfId="0" applyNumberFormat="1" applyFont="1" applyBorder="1" applyAlignment="1">
      <alignment horizontal="center"/>
    </xf>
    <xf numFmtId="1" fontId="1" fillId="0" borderId="9" xfId="0" applyNumberFormat="1" applyFont="1" applyBorder="1" applyAlignment="1">
      <alignment horizontal="center"/>
    </xf>
    <xf numFmtId="1" fontId="1" fillId="0" borderId="13" xfId="0" applyNumberFormat="1" applyFont="1" applyBorder="1" applyAlignment="1">
      <alignment horizontal="center"/>
    </xf>
    <xf numFmtId="1" fontId="1" fillId="0" borderId="15" xfId="0" applyNumberFormat="1" applyFont="1" applyBorder="1" applyAlignment="1">
      <alignment horizontal="center"/>
    </xf>
    <xf numFmtId="0" fontId="1" fillId="12" borderId="8" xfId="0" applyFont="1" applyFill="1" applyBorder="1" applyAlignment="1">
      <alignment horizontal="center"/>
    </xf>
    <xf numFmtId="0" fontId="1" fillId="12" borderId="14" xfId="0" applyFont="1" applyFill="1" applyBorder="1" applyAlignment="1">
      <alignment horizontal="center"/>
    </xf>
    <xf numFmtId="3" fontId="1" fillId="0" borderId="5" xfId="0" applyNumberFormat="1" applyFont="1" applyBorder="1"/>
    <xf numFmtId="3" fontId="3" fillId="0" borderId="10" xfId="0" applyNumberFormat="1" applyFont="1" applyBorder="1"/>
    <xf numFmtId="3" fontId="3" fillId="0" borderId="6" xfId="0" applyNumberFormat="1" applyFont="1" applyBorder="1"/>
    <xf numFmtId="3" fontId="2" fillId="0" borderId="6" xfId="0" applyNumberFormat="1" applyFont="1" applyBorder="1"/>
    <xf numFmtId="3" fontId="2" fillId="0" borderId="5" xfId="0" applyNumberFormat="1" applyFont="1" applyBorder="1"/>
    <xf numFmtId="3" fontId="3" fillId="0" borderId="11" xfId="0" applyNumberFormat="1" applyFont="1" applyBorder="1"/>
    <xf numFmtId="3" fontId="2" fillId="0" borderId="11" xfId="0" applyNumberFormat="1" applyFont="1" applyBorder="1"/>
    <xf numFmtId="3" fontId="1" fillId="0" borderId="7" xfId="0" applyNumberFormat="1" applyFont="1" applyBorder="1"/>
    <xf numFmtId="3" fontId="3" fillId="0" borderId="12" xfId="0" applyNumberFormat="1" applyFont="1" applyBorder="1"/>
    <xf numFmtId="3" fontId="3" fillId="0" borderId="9" xfId="0" applyNumberFormat="1" applyFont="1" applyBorder="1"/>
    <xf numFmtId="3" fontId="1" fillId="0" borderId="2" xfId="0" applyNumberFormat="1" applyFont="1" applyBorder="1"/>
    <xf numFmtId="3" fontId="3" fillId="0" borderId="4" xfId="0" applyNumberFormat="1" applyFont="1" applyBorder="1"/>
    <xf numFmtId="3" fontId="1" fillId="0" borderId="0" xfId="0" applyNumberFormat="1" applyFont="1"/>
    <xf numFmtId="3" fontId="1" fillId="0" borderId="10" xfId="0" applyNumberFormat="1" applyFont="1" applyBorder="1"/>
    <xf numFmtId="3" fontId="1" fillId="0" borderId="6" xfId="0" applyNumberFormat="1" applyFont="1" applyBorder="1"/>
    <xf numFmtId="3" fontId="1" fillId="0" borderId="11" xfId="0" applyNumberFormat="1" applyFont="1" applyBorder="1"/>
    <xf numFmtId="3" fontId="1" fillId="0" borderId="8" xfId="0" applyNumberFormat="1" applyFont="1" applyBorder="1"/>
    <xf numFmtId="3" fontId="1" fillId="0" borderId="12" xfId="0" applyNumberFormat="1" applyFont="1" applyBorder="1"/>
    <xf numFmtId="3" fontId="1" fillId="0" borderId="9" xfId="0" applyNumberFormat="1" applyFont="1" applyBorder="1"/>
    <xf numFmtId="3" fontId="1" fillId="13" borderId="0" xfId="0" applyNumberFormat="1" applyFont="1" applyFill="1"/>
    <xf numFmtId="0" fontId="1" fillId="6" borderId="14" xfId="0" applyFont="1" applyFill="1" applyBorder="1"/>
    <xf numFmtId="164" fontId="4" fillId="0" borderId="13" xfId="0" applyNumberFormat="1" applyFont="1" applyBorder="1" applyAlignment="1">
      <alignment horizontal="center"/>
    </xf>
    <xf numFmtId="164" fontId="4" fillId="0" borderId="14" xfId="0" applyNumberFormat="1" applyFont="1" applyBorder="1" applyAlignment="1">
      <alignment horizontal="center"/>
    </xf>
    <xf numFmtId="164" fontId="4" fillId="0" borderId="15" xfId="0" applyNumberFormat="1" applyFont="1" applyBorder="1" applyAlignment="1">
      <alignment horizontal="center"/>
    </xf>
    <xf numFmtId="164" fontId="1" fillId="6" borderId="15" xfId="0" applyNumberFormat="1" applyFont="1" applyFill="1" applyBorder="1" applyAlignment="1">
      <alignment horizontal="center"/>
    </xf>
    <xf numFmtId="1" fontId="1" fillId="6" borderId="14" xfId="0" applyNumberFormat="1" applyFont="1" applyFill="1" applyBorder="1" applyAlignment="1">
      <alignment horizontal="center"/>
    </xf>
    <xf numFmtId="1" fontId="1" fillId="6" borderId="15" xfId="0" applyNumberFormat="1" applyFont="1" applyFill="1" applyBorder="1" applyAlignment="1">
      <alignment horizontal="center"/>
    </xf>
    <xf numFmtId="0" fontId="1" fillId="6" borderId="13" xfId="0" applyFont="1" applyFill="1" applyBorder="1" applyAlignment="1">
      <alignment horizontal="left"/>
    </xf>
    <xf numFmtId="1" fontId="1" fillId="5" borderId="14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1" fontId="1" fillId="7" borderId="13" xfId="0" applyNumberFormat="1" applyFont="1" applyFill="1" applyBorder="1" applyAlignment="1">
      <alignment horizontal="center"/>
    </xf>
    <xf numFmtId="1" fontId="1" fillId="7" borderId="15" xfId="0" applyNumberFormat="1" applyFont="1" applyFill="1" applyBorder="1" applyAlignment="1">
      <alignment horizontal="center"/>
    </xf>
    <xf numFmtId="1" fontId="1" fillId="6" borderId="13" xfId="0" applyNumberFormat="1" applyFont="1" applyFill="1" applyBorder="1" applyAlignment="1">
      <alignment horizontal="center"/>
    </xf>
    <xf numFmtId="1" fontId="1" fillId="8" borderId="13" xfId="0" applyNumberFormat="1" applyFont="1" applyFill="1" applyBorder="1" applyAlignment="1">
      <alignment horizontal="center"/>
    </xf>
    <xf numFmtId="1" fontId="1" fillId="8" borderId="14" xfId="0" applyNumberFormat="1" applyFont="1" applyFill="1" applyBorder="1" applyAlignment="1">
      <alignment horizontal="center"/>
    </xf>
    <xf numFmtId="1" fontId="1" fillId="8" borderId="15" xfId="0" applyNumberFormat="1" applyFont="1" applyFill="1" applyBorder="1" applyAlignment="1">
      <alignment horizontal="center"/>
    </xf>
    <xf numFmtId="1" fontId="1" fillId="5" borderId="13" xfId="0" applyNumberFormat="1" applyFont="1" applyFill="1" applyBorder="1" applyAlignment="1">
      <alignment horizontal="center"/>
    </xf>
    <xf numFmtId="3" fontId="2" fillId="0" borderId="17" xfId="0" applyNumberFormat="1" applyFont="1" applyBorder="1"/>
    <xf numFmtId="3" fontId="2" fillId="0" borderId="18" xfId="0" applyNumberFormat="1" applyFont="1" applyBorder="1"/>
    <xf numFmtId="3" fontId="2" fillId="0" borderId="19" xfId="0" applyNumberFormat="1" applyFont="1" applyBorder="1"/>
    <xf numFmtId="3" fontId="2" fillId="0" borderId="20" xfId="0" applyNumberFormat="1" applyFont="1" applyBorder="1"/>
    <xf numFmtId="3" fontId="2" fillId="0" borderId="21" xfId="0" applyNumberFormat="1" applyFont="1" applyBorder="1"/>
    <xf numFmtId="3" fontId="2" fillId="0" borderId="22" xfId="0" applyNumberFormat="1" applyFont="1" applyBorder="1"/>
    <xf numFmtId="3" fontId="2" fillId="0" borderId="23" xfId="0" applyNumberFormat="1" applyFont="1" applyBorder="1"/>
    <xf numFmtId="3" fontId="2" fillId="0" borderId="24" xfId="0" applyNumberFormat="1" applyFont="1" applyBorder="1"/>
    <xf numFmtId="3" fontId="2" fillId="0" borderId="25" xfId="0" applyNumberFormat="1" applyFont="1" applyBorder="1"/>
    <xf numFmtId="3" fontId="2" fillId="0" borderId="26" xfId="0" applyNumberFormat="1" applyFont="1" applyBorder="1"/>
    <xf numFmtId="3" fontId="2" fillId="0" borderId="27" xfId="0" applyNumberFormat="1" applyFont="1" applyBorder="1"/>
    <xf numFmtId="3" fontId="2" fillId="0" borderId="28" xfId="0" applyNumberFormat="1" applyFont="1" applyBorder="1"/>
    <xf numFmtId="0" fontId="1" fillId="0" borderId="16" xfId="0" applyFont="1" applyBorder="1" applyAlignment="1">
      <alignment horizontal="center"/>
    </xf>
    <xf numFmtId="17" fontId="2" fillId="4" borderId="5" xfId="0" quotePrefix="1" applyNumberFormat="1" applyFont="1" applyFill="1" applyBorder="1"/>
    <xf numFmtId="1" fontId="2" fillId="5" borderId="15" xfId="0" applyNumberFormat="1" applyFont="1" applyFill="1" applyBorder="1" applyAlignment="1">
      <alignment horizontal="center"/>
    </xf>
    <xf numFmtId="1" fontId="2" fillId="7" borderId="14" xfId="0" applyNumberFormat="1" applyFont="1" applyFill="1" applyBorder="1" applyAlignment="1">
      <alignment horizontal="center"/>
    </xf>
    <xf numFmtId="3" fontId="2" fillId="14" borderId="17" xfId="0" applyNumberFormat="1" applyFont="1" applyFill="1" applyBorder="1"/>
    <xf numFmtId="3" fontId="2" fillId="14" borderId="22" xfId="0" applyNumberFormat="1" applyFont="1" applyFill="1" applyBorder="1"/>
    <xf numFmtId="3" fontId="2" fillId="14" borderId="24" xfId="0" applyNumberFormat="1" applyFont="1" applyFill="1" applyBorder="1"/>
    <xf numFmtId="3" fontId="2" fillId="14" borderId="20" xfId="0" applyNumberFormat="1" applyFont="1" applyFill="1" applyBorder="1"/>
    <xf numFmtId="3" fontId="2" fillId="14" borderId="5" xfId="0" applyNumberFormat="1" applyFont="1" applyFill="1" applyBorder="1"/>
    <xf numFmtId="3" fontId="2" fillId="14" borderId="27" xfId="0" applyNumberFormat="1" applyFont="1" applyFill="1" applyBorder="1"/>
    <xf numFmtId="3" fontId="2" fillId="2" borderId="18" xfId="0" applyNumberFormat="1" applyFont="1" applyFill="1" applyBorder="1"/>
    <xf numFmtId="3" fontId="2" fillId="2" borderId="11" xfId="0" applyNumberFormat="1" applyFont="1" applyFill="1" applyBorder="1"/>
    <xf numFmtId="3" fontId="2" fillId="2" borderId="25" xfId="0" applyNumberFormat="1" applyFont="1" applyFill="1" applyBorder="1"/>
    <xf numFmtId="3" fontId="1" fillId="13" borderId="10" xfId="0" applyNumberFormat="1" applyFont="1" applyFill="1" applyBorder="1"/>
    <xf numFmtId="3" fontId="1" fillId="13" borderId="6" xfId="0" applyNumberFormat="1" applyFont="1" applyFill="1" applyBorder="1"/>
    <xf numFmtId="3" fontId="1" fillId="13" borderId="11" xfId="0" applyNumberFormat="1" applyFont="1" applyFill="1" applyBorder="1"/>
    <xf numFmtId="3" fontId="1" fillId="13" borderId="8" xfId="0" applyNumberFormat="1" applyFont="1" applyFill="1" applyBorder="1"/>
    <xf numFmtId="3" fontId="1" fillId="13" borderId="12" xfId="0" applyNumberFormat="1" applyFont="1" applyFill="1" applyBorder="1"/>
    <xf numFmtId="3" fontId="1" fillId="13" borderId="9" xfId="0" applyNumberFormat="1" applyFont="1" applyFill="1" applyBorder="1"/>
    <xf numFmtId="1" fontId="2" fillId="6" borderId="13" xfId="0" applyNumberFormat="1" applyFont="1" applyFill="1" applyBorder="1" applyAlignment="1">
      <alignment horizontal="center"/>
    </xf>
    <xf numFmtId="1" fontId="5" fillId="8" borderId="15" xfId="0" applyNumberFormat="1" applyFont="1" applyFill="1" applyBorder="1" applyAlignment="1">
      <alignment horizontal="center"/>
    </xf>
    <xf numFmtId="1" fontId="2" fillId="5" borderId="13" xfId="0" applyNumberFormat="1" applyFont="1" applyFill="1" applyBorder="1" applyAlignment="1">
      <alignment horizontal="center"/>
    </xf>
    <xf numFmtId="1" fontId="2" fillId="6" borderId="15" xfId="0" applyNumberFormat="1" applyFont="1" applyFill="1" applyBorder="1" applyAlignment="1">
      <alignment horizontal="center"/>
    </xf>
    <xf numFmtId="1" fontId="3" fillId="6" borderId="13" xfId="0" applyNumberFormat="1" applyFont="1" applyFill="1" applyBorder="1" applyAlignment="1">
      <alignment horizontal="center"/>
    </xf>
    <xf numFmtId="3" fontId="2" fillId="0" borderId="29" xfId="0" applyNumberFormat="1" applyFont="1" applyBorder="1"/>
    <xf numFmtId="3" fontId="2" fillId="0" borderId="30" xfId="0" applyNumberFormat="1" applyFont="1" applyBorder="1"/>
    <xf numFmtId="3" fontId="2" fillId="0" borderId="31" xfId="0" applyNumberFormat="1" applyFont="1" applyBorder="1"/>
    <xf numFmtId="0" fontId="1" fillId="15" borderId="0" xfId="0" applyFont="1" applyFill="1"/>
    <xf numFmtId="3" fontId="4" fillId="0" borderId="5" xfId="0" applyNumberFormat="1" applyFont="1" applyBorder="1"/>
    <xf numFmtId="3" fontId="4" fillId="0" borderId="18" xfId="0" applyNumberFormat="1" applyFont="1" applyBorder="1"/>
    <xf numFmtId="3" fontId="4" fillId="0" borderId="11" xfId="0" applyNumberFormat="1" applyFont="1" applyBorder="1"/>
    <xf numFmtId="3" fontId="4" fillId="0" borderId="25" xfId="0" applyNumberFormat="1" applyFont="1" applyBorder="1"/>
    <xf numFmtId="3" fontId="4" fillId="0" borderId="19" xfId="0" applyNumberFormat="1" applyFont="1" applyBorder="1"/>
    <xf numFmtId="3" fontId="4" fillId="0" borderId="20" xfId="0" applyNumberFormat="1" applyFont="1" applyBorder="1"/>
    <xf numFmtId="3" fontId="4" fillId="0" borderId="27" xfId="0" applyNumberFormat="1" applyFont="1" applyBorder="1"/>
    <xf numFmtId="3" fontId="4" fillId="0" borderId="21" xfId="0" applyNumberFormat="1" applyFont="1" applyBorder="1"/>
    <xf numFmtId="3" fontId="4" fillId="0" borderId="23" xfId="0" applyNumberFormat="1" applyFont="1" applyBorder="1"/>
    <xf numFmtId="3" fontId="4" fillId="0" borderId="28" xfId="0" applyNumberFormat="1" applyFont="1" applyBorder="1"/>
    <xf numFmtId="3" fontId="4" fillId="0" borderId="6" xfId="0" applyNumberFormat="1" applyFont="1" applyBorder="1"/>
    <xf numFmtId="3" fontId="4" fillId="0" borderId="22" xfId="0" applyNumberFormat="1" applyFont="1" applyBorder="1"/>
    <xf numFmtId="3" fontId="4" fillId="0" borderId="17" xfId="0" applyNumberFormat="1" applyFont="1" applyBorder="1"/>
    <xf numFmtId="3" fontId="4" fillId="0" borderId="24" xfId="0" applyNumberFormat="1" applyFont="1" applyBorder="1"/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2" fillId="13" borderId="6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7C852-3891-47DF-B9AC-264DDAEB4803}">
  <sheetPr>
    <tabColor rgb="FFCCFFCC"/>
  </sheetPr>
  <dimension ref="A1:AK40"/>
  <sheetViews>
    <sheetView topLeftCell="A5" zoomScale="80" zoomScaleNormal="80" workbookViewId="0">
      <selection activeCell="I13" sqref="I13:I39"/>
    </sheetView>
  </sheetViews>
  <sheetFormatPr defaultRowHeight="18" x14ac:dyDescent="0.35"/>
  <cols>
    <col min="1" max="1" width="6.109375" style="3" customWidth="1"/>
    <col min="2" max="2" width="7.5546875" style="3" customWidth="1"/>
    <col min="3" max="3" width="5.88671875" style="3" customWidth="1"/>
    <col min="4" max="4" width="6.77734375" style="3" customWidth="1"/>
    <col min="5" max="5" width="6.5546875" style="3" customWidth="1"/>
    <col min="6" max="6" width="7.21875" style="3" customWidth="1"/>
    <col min="7" max="7" width="6" style="3" bestFit="1" customWidth="1"/>
    <col min="8" max="8" width="7" style="3" bestFit="1" customWidth="1"/>
    <col min="9" max="10" width="6" style="3" bestFit="1" customWidth="1"/>
    <col min="11" max="11" width="7" style="3" bestFit="1" customWidth="1"/>
    <col min="12" max="13" width="6" style="3" bestFit="1" customWidth="1"/>
    <col min="14" max="14" width="7" style="3" bestFit="1" customWidth="1"/>
    <col min="15" max="16" width="6" style="3" bestFit="1" customWidth="1"/>
    <col min="17" max="17" width="7" style="3" bestFit="1" customWidth="1"/>
    <col min="18" max="19" width="6" style="3" bestFit="1" customWidth="1"/>
    <col min="20" max="20" width="7" style="3" bestFit="1" customWidth="1"/>
    <col min="21" max="21" width="6" style="3" bestFit="1" customWidth="1"/>
    <col min="22" max="16384" width="8.88671875" style="3"/>
  </cols>
  <sheetData>
    <row r="1" spans="1:37" ht="15" customHeight="1" x14ac:dyDescent="0.35">
      <c r="A1" s="1" t="s">
        <v>0</v>
      </c>
      <c r="B1" s="1" t="s">
        <v>2</v>
      </c>
      <c r="C1" s="2" t="s">
        <v>4</v>
      </c>
      <c r="D1" s="153" t="s">
        <v>5</v>
      </c>
      <c r="E1" s="153"/>
      <c r="F1" s="153"/>
      <c r="G1" s="153"/>
      <c r="H1" s="153"/>
      <c r="I1" s="154"/>
      <c r="J1" s="152" t="s">
        <v>21</v>
      </c>
      <c r="K1" s="153"/>
      <c r="L1" s="154"/>
      <c r="M1" s="152" t="s">
        <v>24</v>
      </c>
      <c r="N1" s="153"/>
      <c r="O1" s="154"/>
      <c r="P1" s="152" t="s">
        <v>26</v>
      </c>
      <c r="Q1" s="153"/>
      <c r="R1" s="154"/>
      <c r="S1" s="152" t="s">
        <v>28</v>
      </c>
      <c r="T1" s="153"/>
      <c r="U1" s="154"/>
    </row>
    <row r="2" spans="1:37" ht="18.600000000000001" thickBot="1" x14ac:dyDescent="0.4">
      <c r="A2" s="4" t="s">
        <v>1</v>
      </c>
      <c r="B2" s="4" t="s">
        <v>3</v>
      </c>
      <c r="C2" s="5" t="s">
        <v>3</v>
      </c>
      <c r="D2" s="159" t="s">
        <v>6</v>
      </c>
      <c r="E2" s="159"/>
      <c r="F2" s="159"/>
      <c r="G2" s="159"/>
      <c r="H2" s="159"/>
      <c r="I2" s="160"/>
      <c r="J2" s="158" t="s">
        <v>22</v>
      </c>
      <c r="K2" s="159"/>
      <c r="L2" s="160"/>
      <c r="M2" s="158" t="s">
        <v>25</v>
      </c>
      <c r="N2" s="159"/>
      <c r="O2" s="160"/>
      <c r="P2" s="158" t="s">
        <v>27</v>
      </c>
      <c r="Q2" s="159"/>
      <c r="R2" s="160"/>
      <c r="S2" s="158" t="s">
        <v>29</v>
      </c>
      <c r="T2" s="159"/>
      <c r="U2" s="160"/>
    </row>
    <row r="3" spans="1:37" ht="18.600000000000001" thickBot="1" x14ac:dyDescent="0.4">
      <c r="A3" s="6"/>
      <c r="B3" s="6"/>
      <c r="C3" s="7"/>
      <c r="D3" s="8" t="s">
        <v>30</v>
      </c>
      <c r="E3" s="9"/>
      <c r="F3" s="10"/>
      <c r="G3" s="155" t="s">
        <v>32</v>
      </c>
      <c r="H3" s="156"/>
      <c r="I3" s="157"/>
      <c r="J3" s="158" t="s">
        <v>23</v>
      </c>
      <c r="K3" s="159"/>
      <c r="L3" s="160"/>
      <c r="M3" s="158" t="s">
        <v>23</v>
      </c>
      <c r="N3" s="159"/>
      <c r="O3" s="160"/>
      <c r="P3" s="158" t="s">
        <v>23</v>
      </c>
      <c r="Q3" s="159"/>
      <c r="R3" s="160"/>
      <c r="S3" s="158" t="s">
        <v>23</v>
      </c>
      <c r="T3" s="159"/>
      <c r="U3" s="160"/>
    </row>
    <row r="4" spans="1:37" ht="18.600000000000001" thickBot="1" x14ac:dyDescent="0.4">
      <c r="A4" s="6"/>
      <c r="B4" s="6"/>
      <c r="C4" s="7"/>
      <c r="D4" s="155" t="s">
        <v>31</v>
      </c>
      <c r="E4" s="156"/>
      <c r="F4" s="157"/>
      <c r="G4" s="155" t="s">
        <v>31</v>
      </c>
      <c r="H4" s="156"/>
      <c r="I4" s="157"/>
      <c r="J4" s="4"/>
      <c r="K4" s="11"/>
      <c r="L4" s="12"/>
      <c r="M4" s="4"/>
      <c r="N4" s="11"/>
      <c r="O4" s="12"/>
      <c r="P4" s="4"/>
      <c r="Q4" s="11"/>
      <c r="R4" s="12"/>
      <c r="S4" s="4"/>
      <c r="T4" s="11"/>
      <c r="U4" s="12"/>
    </row>
    <row r="5" spans="1:37" ht="18.600000000000001" thickBot="1" x14ac:dyDescent="0.4">
      <c r="A5" s="13"/>
      <c r="B5" s="13"/>
      <c r="C5" s="14"/>
      <c r="D5" s="15" t="s">
        <v>7</v>
      </c>
      <c r="E5" s="15" t="s">
        <v>8</v>
      </c>
      <c r="F5" s="15" t="s">
        <v>9</v>
      </c>
      <c r="G5" s="16" t="s">
        <v>10</v>
      </c>
      <c r="H5" s="15" t="s">
        <v>11</v>
      </c>
      <c r="I5" s="161" t="s">
        <v>47</v>
      </c>
      <c r="J5" s="18" t="s">
        <v>10</v>
      </c>
      <c r="K5" s="15" t="s">
        <v>11</v>
      </c>
      <c r="L5" s="161" t="s">
        <v>47</v>
      </c>
      <c r="M5" s="18" t="s">
        <v>10</v>
      </c>
      <c r="N5" s="15" t="s">
        <v>11</v>
      </c>
      <c r="O5" s="161" t="s">
        <v>47</v>
      </c>
      <c r="P5" s="18" t="s">
        <v>10</v>
      </c>
      <c r="Q5" s="15" t="s">
        <v>11</v>
      </c>
      <c r="R5" s="161" t="s">
        <v>47</v>
      </c>
      <c r="S5" s="18" t="s">
        <v>10</v>
      </c>
      <c r="T5" s="15" t="s">
        <v>11</v>
      </c>
      <c r="U5" s="161" t="s">
        <v>47</v>
      </c>
    </row>
    <row r="6" spans="1:37" ht="18.600000000000001" thickBot="1" x14ac:dyDescent="0.4">
      <c r="A6" s="13"/>
      <c r="B6" s="13" t="s">
        <v>33</v>
      </c>
      <c r="C6" s="50"/>
      <c r="D6" s="52">
        <v>100</v>
      </c>
      <c r="E6" s="52">
        <v>50</v>
      </c>
      <c r="F6" s="52">
        <v>50</v>
      </c>
      <c r="G6" s="53"/>
      <c r="H6" s="60">
        <f>0.15*400</f>
        <v>60</v>
      </c>
      <c r="I6" s="17"/>
      <c r="J6" s="18">
        <v>400</v>
      </c>
      <c r="K6" s="52">
        <v>200</v>
      </c>
      <c r="L6" s="19">
        <v>200</v>
      </c>
      <c r="M6" s="18">
        <v>200</v>
      </c>
      <c r="N6" s="52">
        <v>200</v>
      </c>
      <c r="O6" s="19">
        <v>400</v>
      </c>
      <c r="P6" s="18">
        <v>200</v>
      </c>
      <c r="Q6" s="52">
        <v>200</v>
      </c>
      <c r="R6" s="19">
        <v>300</v>
      </c>
      <c r="S6" s="18">
        <v>0</v>
      </c>
      <c r="T6" s="52">
        <v>0</v>
      </c>
      <c r="U6" s="19">
        <v>200</v>
      </c>
    </row>
    <row r="7" spans="1:37" ht="18.600000000000001" thickBot="1" x14ac:dyDescent="0.4">
      <c r="A7" s="13"/>
      <c r="B7" s="13"/>
      <c r="C7" s="50"/>
      <c r="D7" s="55"/>
      <c r="E7" s="55"/>
      <c r="F7" s="55"/>
      <c r="G7" s="54"/>
      <c r="H7" s="55"/>
      <c r="I7" s="56"/>
      <c r="J7" s="82">
        <f>J6/200</f>
        <v>2</v>
      </c>
      <c r="K7" s="83">
        <f t="shared" ref="K7:U7" si="0">K6/200</f>
        <v>1</v>
      </c>
      <c r="L7" s="84">
        <f t="shared" si="0"/>
        <v>1</v>
      </c>
      <c r="M7" s="82">
        <f t="shared" si="0"/>
        <v>1</v>
      </c>
      <c r="N7" s="83">
        <f t="shared" si="0"/>
        <v>1</v>
      </c>
      <c r="O7" s="84">
        <f t="shared" si="0"/>
        <v>2</v>
      </c>
      <c r="P7" s="82">
        <f t="shared" si="0"/>
        <v>1</v>
      </c>
      <c r="Q7" s="83">
        <f t="shared" si="0"/>
        <v>1</v>
      </c>
      <c r="R7" s="84">
        <f t="shared" si="0"/>
        <v>1.5</v>
      </c>
      <c r="S7" s="82">
        <f t="shared" si="0"/>
        <v>0</v>
      </c>
      <c r="T7" s="83">
        <f t="shared" si="0"/>
        <v>0</v>
      </c>
      <c r="U7" s="84">
        <f t="shared" si="0"/>
        <v>1</v>
      </c>
    </row>
    <row r="8" spans="1:37" ht="18.600000000000001" thickBot="1" x14ac:dyDescent="0.4">
      <c r="A8" s="13"/>
      <c r="B8" s="13"/>
      <c r="C8" s="50"/>
      <c r="D8" s="55">
        <f>SUM(J8,M8,P8,S8)</f>
        <v>4</v>
      </c>
      <c r="E8" s="52">
        <f t="shared" ref="E8:F8" si="1">SUM(K8,N8,Q8,T8)</f>
        <v>3</v>
      </c>
      <c r="F8" s="52">
        <f t="shared" si="1"/>
        <v>6</v>
      </c>
      <c r="G8" s="54"/>
      <c r="H8" s="55"/>
      <c r="I8" s="56"/>
      <c r="J8" s="57">
        <v>2</v>
      </c>
      <c r="K8" s="55">
        <v>1</v>
      </c>
      <c r="L8" s="58">
        <v>1</v>
      </c>
      <c r="M8" s="57">
        <v>1</v>
      </c>
      <c r="N8" s="55">
        <v>1</v>
      </c>
      <c r="O8" s="58">
        <v>2</v>
      </c>
      <c r="P8" s="57">
        <v>1</v>
      </c>
      <c r="Q8" s="55">
        <v>1</v>
      </c>
      <c r="R8" s="58">
        <v>2</v>
      </c>
      <c r="S8" s="57">
        <v>0</v>
      </c>
      <c r="T8" s="55">
        <v>0</v>
      </c>
      <c r="U8" s="58">
        <v>1</v>
      </c>
    </row>
    <row r="9" spans="1:37" ht="18.600000000000001" thickBot="1" x14ac:dyDescent="0.4">
      <c r="A9" s="13"/>
      <c r="B9" s="13" t="s">
        <v>34</v>
      </c>
      <c r="C9" s="50"/>
      <c r="D9" s="52">
        <v>150</v>
      </c>
      <c r="E9" s="52">
        <v>100</v>
      </c>
      <c r="F9" s="52">
        <v>100</v>
      </c>
      <c r="G9" s="59">
        <f>0.2*500</f>
        <v>100</v>
      </c>
      <c r="H9" s="60">
        <f>0.1*500</f>
        <v>50</v>
      </c>
      <c r="I9" s="17"/>
      <c r="J9" s="18">
        <v>400</v>
      </c>
      <c r="K9" s="52">
        <v>200</v>
      </c>
      <c r="L9" s="19">
        <v>400</v>
      </c>
      <c r="M9" s="18">
        <v>200</v>
      </c>
      <c r="N9" s="52">
        <v>400</v>
      </c>
      <c r="O9" s="19">
        <v>400</v>
      </c>
      <c r="P9" s="18">
        <v>300</v>
      </c>
      <c r="Q9" s="52">
        <v>300</v>
      </c>
      <c r="R9" s="19">
        <v>400</v>
      </c>
      <c r="S9" s="18">
        <v>0</v>
      </c>
      <c r="T9" s="52">
        <v>0</v>
      </c>
      <c r="U9" s="19">
        <v>400</v>
      </c>
    </row>
    <row r="10" spans="1:37" ht="18.600000000000001" thickBot="1" x14ac:dyDescent="0.4">
      <c r="A10" s="13"/>
      <c r="B10" s="13"/>
      <c r="C10" s="50"/>
      <c r="D10" s="55"/>
      <c r="E10" s="55"/>
      <c r="F10" s="55"/>
      <c r="G10" s="86">
        <f>AVERAGE(D8,D11)</f>
        <v>4.25</v>
      </c>
      <c r="H10" s="86">
        <f>AVERAGE(E8,E11)</f>
        <v>3.75</v>
      </c>
      <c r="I10" s="87">
        <f>AVERAGE(F8,F11)</f>
        <v>7</v>
      </c>
      <c r="J10" s="82">
        <f t="shared" ref="J10:U10" si="2">J9/200</f>
        <v>2</v>
      </c>
      <c r="K10" s="83">
        <f t="shared" si="2"/>
        <v>1</v>
      </c>
      <c r="L10" s="84">
        <f t="shared" si="2"/>
        <v>2</v>
      </c>
      <c r="M10" s="82">
        <f t="shared" si="2"/>
        <v>1</v>
      </c>
      <c r="N10" s="83">
        <f t="shared" si="2"/>
        <v>2</v>
      </c>
      <c r="O10" s="84">
        <f t="shared" si="2"/>
        <v>2</v>
      </c>
      <c r="P10" s="82">
        <f>P9/200</f>
        <v>1.5</v>
      </c>
      <c r="Q10" s="83">
        <f t="shared" si="2"/>
        <v>1.5</v>
      </c>
      <c r="R10" s="84">
        <f t="shared" si="2"/>
        <v>2</v>
      </c>
      <c r="S10" s="82">
        <f t="shared" si="2"/>
        <v>0</v>
      </c>
      <c r="T10" s="83">
        <f t="shared" si="2"/>
        <v>0</v>
      </c>
      <c r="U10" s="84">
        <f t="shared" si="2"/>
        <v>2</v>
      </c>
    </row>
    <row r="11" spans="1:37" ht="18.600000000000001" thickBot="1" x14ac:dyDescent="0.4">
      <c r="A11" s="13"/>
      <c r="B11" s="13"/>
      <c r="C11" s="50"/>
      <c r="D11" s="55">
        <f>SUM(J11,M11,P11,S11)</f>
        <v>4.5</v>
      </c>
      <c r="E11" s="52">
        <f t="shared" ref="E11:F11" si="3">SUM(K11,N11,Q11,T11)</f>
        <v>4.5</v>
      </c>
      <c r="F11" s="52">
        <f t="shared" si="3"/>
        <v>8</v>
      </c>
      <c r="G11" s="55"/>
      <c r="H11" s="55"/>
      <c r="I11" s="58"/>
      <c r="J11" s="57">
        <v>2</v>
      </c>
      <c r="K11" s="55">
        <v>1</v>
      </c>
      <c r="L11" s="58">
        <v>2</v>
      </c>
      <c r="M11" s="57">
        <v>1</v>
      </c>
      <c r="N11" s="55">
        <v>2</v>
      </c>
      <c r="O11" s="58">
        <v>2</v>
      </c>
      <c r="P11" s="57">
        <v>1.5</v>
      </c>
      <c r="Q11" s="55">
        <v>1.5</v>
      </c>
      <c r="R11" s="58">
        <v>2</v>
      </c>
      <c r="S11" s="57">
        <v>0</v>
      </c>
      <c r="T11" s="55">
        <v>0</v>
      </c>
      <c r="U11" s="58">
        <v>2</v>
      </c>
      <c r="W11" s="24" t="s">
        <v>61</v>
      </c>
      <c r="X11" s="24"/>
      <c r="Y11" s="24"/>
      <c r="Z11" s="152" t="s">
        <v>36</v>
      </c>
      <c r="AA11" s="153"/>
      <c r="AB11" s="154"/>
      <c r="AC11" s="152" t="s">
        <v>37</v>
      </c>
      <c r="AD11" s="153"/>
      <c r="AE11" s="154"/>
      <c r="AF11" s="152" t="s">
        <v>39</v>
      </c>
      <c r="AG11" s="153"/>
      <c r="AH11" s="154"/>
      <c r="AI11" s="152" t="s">
        <v>38</v>
      </c>
      <c r="AJ11" s="153"/>
      <c r="AK11" s="154"/>
    </row>
    <row r="12" spans="1:37" ht="18.600000000000001" thickBot="1" x14ac:dyDescent="0.4">
      <c r="A12" s="20"/>
      <c r="B12" s="88" t="s">
        <v>35</v>
      </c>
      <c r="C12" s="81"/>
      <c r="D12" s="81"/>
      <c r="E12" s="81"/>
      <c r="F12" s="81"/>
      <c r="G12" s="86">
        <f>SUM(J12,M12,P12,S12)</f>
        <v>4.25</v>
      </c>
      <c r="H12" s="86">
        <f>SUM(K12,N12,Q12,T12)</f>
        <v>3.25</v>
      </c>
      <c r="I12" s="87">
        <f>SUM(L12,O12,R12,U12)</f>
        <v>6.5</v>
      </c>
      <c r="J12" s="97">
        <f>AVERAGE(J8,J11)</f>
        <v>2</v>
      </c>
      <c r="K12" s="89">
        <f t="shared" ref="K12:U12" si="4">AVERAGE(K8,K11)</f>
        <v>1</v>
      </c>
      <c r="L12" s="112">
        <v>1</v>
      </c>
      <c r="M12" s="91">
        <f t="shared" si="4"/>
        <v>1</v>
      </c>
      <c r="N12" s="113">
        <v>1</v>
      </c>
      <c r="O12" s="92">
        <f t="shared" si="4"/>
        <v>2</v>
      </c>
      <c r="P12" s="93">
        <f t="shared" si="4"/>
        <v>1.25</v>
      </c>
      <c r="Q12" s="86">
        <f t="shared" si="4"/>
        <v>1.25</v>
      </c>
      <c r="R12" s="87">
        <f t="shared" si="4"/>
        <v>2</v>
      </c>
      <c r="S12" s="94">
        <f t="shared" si="4"/>
        <v>0</v>
      </c>
      <c r="T12" s="95">
        <f t="shared" si="4"/>
        <v>0</v>
      </c>
      <c r="U12" s="96">
        <f t="shared" si="4"/>
        <v>1.5</v>
      </c>
      <c r="Z12" s="110" t="s">
        <v>10</v>
      </c>
      <c r="AA12" s="110" t="s">
        <v>11</v>
      </c>
      <c r="AB12" s="161" t="s">
        <v>47</v>
      </c>
      <c r="AC12" s="110" t="s">
        <v>10</v>
      </c>
      <c r="AD12" s="110" t="s">
        <v>11</v>
      </c>
      <c r="AE12" s="161" t="s">
        <v>47</v>
      </c>
      <c r="AF12" s="110" t="s">
        <v>10</v>
      </c>
      <c r="AG12" s="110" t="s">
        <v>11</v>
      </c>
      <c r="AH12" s="161" t="s">
        <v>47</v>
      </c>
      <c r="AI12" s="110" t="s">
        <v>10</v>
      </c>
      <c r="AJ12" s="110" t="s">
        <v>11</v>
      </c>
      <c r="AK12" s="161" t="s">
        <v>47</v>
      </c>
    </row>
    <row r="13" spans="1:37" x14ac:dyDescent="0.35">
      <c r="A13" s="21" t="s">
        <v>13</v>
      </c>
      <c r="B13" s="22" t="s">
        <v>14</v>
      </c>
      <c r="C13" s="21" t="s">
        <v>15</v>
      </c>
      <c r="D13" s="61">
        <v>1920</v>
      </c>
      <c r="E13" s="62">
        <v>800</v>
      </c>
      <c r="F13" s="63">
        <v>1600</v>
      </c>
      <c r="G13" s="80">
        <f>(D13-(H13*(18/100)))*(100/46)</f>
        <v>3493.3837429111531</v>
      </c>
      <c r="H13" s="123">
        <f>E13*(100/46)</f>
        <v>1739.1304347826085</v>
      </c>
      <c r="I13" s="163">
        <f>F13*(100/60)</f>
        <v>2666.666666666667</v>
      </c>
      <c r="J13" s="61">
        <f>(G13*$J$12)/$G$12</f>
        <v>1643.9452907817192</v>
      </c>
      <c r="K13" s="62">
        <f>(H13*$K$12)/$H$12</f>
        <v>535.11705685618722</v>
      </c>
      <c r="L13" s="63">
        <f>(I13*$L$12)/$I$12</f>
        <v>410.25641025641028</v>
      </c>
      <c r="M13" s="61">
        <f>(G13*$M$12)/$G$12</f>
        <v>821.97264539085961</v>
      </c>
      <c r="N13" s="74">
        <f>(H13*$N$12)/$H$12</f>
        <v>535.11705685618722</v>
      </c>
      <c r="O13" s="75">
        <f>(I13*$O$12)/$I$12</f>
        <v>820.51282051282055</v>
      </c>
      <c r="P13" s="61">
        <f>(G13*$P$12)/$G$12</f>
        <v>1027.4658067385744</v>
      </c>
      <c r="Q13" s="74">
        <f>(H13*$Q$12)/$H$12</f>
        <v>668.89632107023397</v>
      </c>
      <c r="R13" s="75">
        <f>(I13*$R$12)/$I$12</f>
        <v>820.51282051282055</v>
      </c>
      <c r="S13" s="61">
        <f>(G13*$S$12)/$G$12</f>
        <v>0</v>
      </c>
      <c r="T13" s="74">
        <f>(H13*$T$12)/$H$12</f>
        <v>0</v>
      </c>
      <c r="U13" s="75">
        <f>(I13*$U$12)/$I$12</f>
        <v>615.38461538461547</v>
      </c>
      <c r="V13" s="3">
        <v>1</v>
      </c>
      <c r="W13" s="80">
        <f t="shared" ref="W13:Y15" si="5">Z13+AC13+AF13+AI13</f>
        <v>3500</v>
      </c>
      <c r="X13" s="80">
        <f t="shared" si="5"/>
        <v>1800</v>
      </c>
      <c r="Y13" s="80">
        <f t="shared" si="5"/>
        <v>3200</v>
      </c>
      <c r="Z13" s="114">
        <v>1700</v>
      </c>
      <c r="AA13" s="120">
        <v>500</v>
      </c>
      <c r="AB13" s="100">
        <v>500</v>
      </c>
      <c r="AC13" s="117">
        <v>800</v>
      </c>
      <c r="AD13" s="120">
        <v>600</v>
      </c>
      <c r="AE13" s="100">
        <v>1000</v>
      </c>
      <c r="AF13" s="117">
        <v>1000</v>
      </c>
      <c r="AG13" s="120">
        <v>700</v>
      </c>
      <c r="AH13" s="100">
        <v>1000</v>
      </c>
      <c r="AI13" s="117">
        <f t="shared" ref="AI13:AI39" si="6">S13</f>
        <v>0</v>
      </c>
      <c r="AJ13" s="120">
        <f t="shared" ref="AJ13:AJ39" si="7">T13</f>
        <v>0</v>
      </c>
      <c r="AK13" s="102">
        <v>700</v>
      </c>
    </row>
    <row r="14" spans="1:37" x14ac:dyDescent="0.35">
      <c r="A14" s="23" t="s">
        <v>13</v>
      </c>
      <c r="B14" s="22" t="s">
        <v>14</v>
      </c>
      <c r="C14" s="23" t="s">
        <v>64</v>
      </c>
      <c r="D14" s="61">
        <v>1920</v>
      </c>
      <c r="E14" s="66">
        <v>800</v>
      </c>
      <c r="F14" s="63">
        <v>800</v>
      </c>
      <c r="G14" s="80">
        <f>(D14-(H14*(18/100)))*(100/46)</f>
        <v>3493.3837429111531</v>
      </c>
      <c r="H14" s="125">
        <f t="shared" ref="H14:H39" si="8">E14*(100/46)</f>
        <v>1739.1304347826085</v>
      </c>
      <c r="I14" s="163">
        <f t="shared" ref="I14:I39" si="9">F14*(100/60)</f>
        <v>1333.3333333333335</v>
      </c>
      <c r="J14" s="61">
        <f t="shared" ref="J14:J39" si="10">(G14*$J$12)/$G$12</f>
        <v>1643.9452907817192</v>
      </c>
      <c r="K14" s="66">
        <f t="shared" ref="K14:K39" si="11">(H14*$K$12)/$H$12</f>
        <v>535.11705685618722</v>
      </c>
      <c r="L14" s="63">
        <f t="shared" ref="L14:L39" si="12">(I14*$L$12)/$I$12</f>
        <v>205.12820512820514</v>
      </c>
      <c r="M14" s="61">
        <f t="shared" ref="M14:M39" si="13">(G14*$M$12)/$G$12</f>
        <v>821.97264539085961</v>
      </c>
      <c r="N14" s="76">
        <f t="shared" ref="N14:N39" si="14">(H14*$N$12)/$H$12</f>
        <v>535.11705685618722</v>
      </c>
      <c r="O14" s="75">
        <f t="shared" ref="O14:O39" si="15">(I14*$O$12)/$I$12</f>
        <v>410.25641025641028</v>
      </c>
      <c r="P14" s="61">
        <f t="shared" ref="P14:P39" si="16">(G14*$P$12)/$G$12</f>
        <v>1027.4658067385744</v>
      </c>
      <c r="Q14" s="76">
        <f t="shared" ref="Q14:Q39" si="17">(H14*$Q$12)/$H$12</f>
        <v>668.89632107023397</v>
      </c>
      <c r="R14" s="75">
        <f t="shared" ref="R14:R39" si="18">(I14*$R$12)/$I$12</f>
        <v>410.25641025641028</v>
      </c>
      <c r="S14" s="61">
        <f t="shared" ref="S14:S39" si="19">(G14*$S$12)/$G$12</f>
        <v>0</v>
      </c>
      <c r="T14" s="76">
        <f t="shared" ref="T14:T39" si="20">(H14*$T$12)/$H$12</f>
        <v>0</v>
      </c>
      <c r="U14" s="75">
        <f t="shared" ref="U14:U39" si="21">(I14*$U$12)/$I$12</f>
        <v>307.69230769230774</v>
      </c>
      <c r="V14" s="3">
        <v>2</v>
      </c>
      <c r="W14" s="80">
        <f t="shared" si="5"/>
        <v>3500</v>
      </c>
      <c r="X14" s="80">
        <f t="shared" si="5"/>
        <v>1800</v>
      </c>
      <c r="Y14" s="80">
        <f t="shared" si="5"/>
        <v>1600</v>
      </c>
      <c r="Z14" s="115">
        <v>1700</v>
      </c>
      <c r="AA14" s="121">
        <v>500</v>
      </c>
      <c r="AB14" s="64">
        <v>300</v>
      </c>
      <c r="AC14" s="118">
        <v>800</v>
      </c>
      <c r="AD14" s="121">
        <v>600</v>
      </c>
      <c r="AE14" s="64">
        <v>500</v>
      </c>
      <c r="AF14" s="118">
        <v>1000</v>
      </c>
      <c r="AG14" s="121">
        <v>700</v>
      </c>
      <c r="AH14" s="64">
        <v>500</v>
      </c>
      <c r="AI14" s="118">
        <f t="shared" si="6"/>
        <v>0</v>
      </c>
      <c r="AJ14" s="121">
        <f t="shared" si="7"/>
        <v>0</v>
      </c>
      <c r="AK14" s="104">
        <v>300</v>
      </c>
    </row>
    <row r="15" spans="1:37" s="24" customFormat="1" ht="18.600000000000001" thickBot="1" x14ac:dyDescent="0.4">
      <c r="A15" s="23" t="s">
        <v>13</v>
      </c>
      <c r="B15" s="22" t="s">
        <v>14</v>
      </c>
      <c r="C15" s="23" t="s">
        <v>17</v>
      </c>
      <c r="D15" s="68">
        <v>1920</v>
      </c>
      <c r="E15" s="69">
        <v>800</v>
      </c>
      <c r="F15" s="70">
        <v>400</v>
      </c>
      <c r="G15" s="80">
        <f>(D15-(H15*(18/100)))*(100/46)</f>
        <v>3493.3837429111531</v>
      </c>
      <c r="H15" s="125">
        <f t="shared" si="8"/>
        <v>1739.1304347826085</v>
      </c>
      <c r="I15" s="163">
        <f t="shared" si="9"/>
        <v>666.66666666666674</v>
      </c>
      <c r="J15" s="61">
        <f t="shared" si="10"/>
        <v>1643.9452907817192</v>
      </c>
      <c r="K15" s="66">
        <f t="shared" si="11"/>
        <v>535.11705685618722</v>
      </c>
      <c r="L15" s="63">
        <f t="shared" si="12"/>
        <v>102.56410256410257</v>
      </c>
      <c r="M15" s="61">
        <f t="shared" si="13"/>
        <v>821.97264539085961</v>
      </c>
      <c r="N15" s="76">
        <f t="shared" si="14"/>
        <v>535.11705685618722</v>
      </c>
      <c r="O15" s="75">
        <f t="shared" si="15"/>
        <v>205.12820512820514</v>
      </c>
      <c r="P15" s="61">
        <f t="shared" si="16"/>
        <v>1027.4658067385744</v>
      </c>
      <c r="Q15" s="76">
        <f t="shared" si="17"/>
        <v>668.89632107023397</v>
      </c>
      <c r="R15" s="75">
        <f t="shared" si="18"/>
        <v>205.12820512820514</v>
      </c>
      <c r="S15" s="61">
        <f t="shared" si="19"/>
        <v>0</v>
      </c>
      <c r="T15" s="76">
        <f t="shared" si="20"/>
        <v>0</v>
      </c>
      <c r="U15" s="75">
        <f t="shared" si="21"/>
        <v>153.84615384615387</v>
      </c>
      <c r="V15" s="24">
        <v>3</v>
      </c>
      <c r="W15" s="80">
        <f t="shared" si="5"/>
        <v>3500</v>
      </c>
      <c r="X15" s="80">
        <f t="shared" si="5"/>
        <v>1800</v>
      </c>
      <c r="Y15" s="80">
        <f t="shared" si="5"/>
        <v>800</v>
      </c>
      <c r="Z15" s="116">
        <v>1700</v>
      </c>
      <c r="AA15" s="122">
        <v>500</v>
      </c>
      <c r="AB15" s="107">
        <v>100</v>
      </c>
      <c r="AC15" s="119">
        <v>800</v>
      </c>
      <c r="AD15" s="122">
        <v>600</v>
      </c>
      <c r="AE15" s="107">
        <v>200</v>
      </c>
      <c r="AF15" s="119">
        <v>1000</v>
      </c>
      <c r="AG15" s="122">
        <v>700</v>
      </c>
      <c r="AH15" s="107">
        <v>300</v>
      </c>
      <c r="AI15" s="119">
        <f t="shared" si="6"/>
        <v>0</v>
      </c>
      <c r="AJ15" s="122">
        <f t="shared" si="7"/>
        <v>0</v>
      </c>
      <c r="AK15" s="109">
        <v>200</v>
      </c>
    </row>
    <row r="16" spans="1:37" x14ac:dyDescent="0.35">
      <c r="A16" s="25" t="s">
        <v>13</v>
      </c>
      <c r="B16" s="26" t="s">
        <v>63</v>
      </c>
      <c r="C16" s="25" t="s">
        <v>15</v>
      </c>
      <c r="D16" s="71">
        <v>1920</v>
      </c>
      <c r="E16" s="62">
        <v>400</v>
      </c>
      <c r="F16" s="72">
        <v>1600</v>
      </c>
      <c r="G16" s="80">
        <f>(D16-(H16*(18/100)))*(100/46)</f>
        <v>3833.6483931947068</v>
      </c>
      <c r="H16" s="125">
        <f t="shared" si="8"/>
        <v>869.56521739130426</v>
      </c>
      <c r="I16" s="163">
        <f t="shared" si="9"/>
        <v>2666.666666666667</v>
      </c>
      <c r="J16" s="61">
        <f t="shared" si="10"/>
        <v>1804.0698320916267</v>
      </c>
      <c r="K16" s="66">
        <f t="shared" si="11"/>
        <v>267.55852842809361</v>
      </c>
      <c r="L16" s="63">
        <f t="shared" si="12"/>
        <v>410.25641025641028</v>
      </c>
      <c r="M16" s="61">
        <f t="shared" si="13"/>
        <v>902.03491604581336</v>
      </c>
      <c r="N16" s="76">
        <f t="shared" si="14"/>
        <v>267.55852842809361</v>
      </c>
      <c r="O16" s="75">
        <f t="shared" si="15"/>
        <v>820.51282051282055</v>
      </c>
      <c r="P16" s="61">
        <f t="shared" si="16"/>
        <v>1127.5436450572668</v>
      </c>
      <c r="Q16" s="76">
        <f t="shared" si="17"/>
        <v>334.44816053511698</v>
      </c>
      <c r="R16" s="75">
        <f t="shared" si="18"/>
        <v>820.51282051282055</v>
      </c>
      <c r="S16" s="61">
        <f t="shared" si="19"/>
        <v>0</v>
      </c>
      <c r="T16" s="76">
        <f t="shared" si="20"/>
        <v>0</v>
      </c>
      <c r="U16" s="75">
        <f t="shared" si="21"/>
        <v>615.38461538461547</v>
      </c>
      <c r="V16" s="3">
        <v>4</v>
      </c>
      <c r="W16" s="80">
        <f>Z16+AC16+AF16+AI16</f>
        <v>3800</v>
      </c>
      <c r="X16" s="80">
        <f t="shared" ref="X16:X39" si="22">AA16+AD16+AG16+AJ16</f>
        <v>900</v>
      </c>
      <c r="Y16" s="80">
        <f>AB16+AE16+AH16+AK16</f>
        <v>3200</v>
      </c>
      <c r="Z16" s="115">
        <v>1800</v>
      </c>
      <c r="AA16" s="121">
        <v>300</v>
      </c>
      <c r="AB16" s="100">
        <v>500</v>
      </c>
      <c r="AC16" s="118">
        <v>900</v>
      </c>
      <c r="AD16" s="121">
        <v>300</v>
      </c>
      <c r="AE16" s="100">
        <v>1000</v>
      </c>
      <c r="AF16" s="118">
        <v>1100</v>
      </c>
      <c r="AG16" s="121">
        <v>300</v>
      </c>
      <c r="AH16" s="100">
        <v>1000</v>
      </c>
      <c r="AI16" s="118">
        <f t="shared" si="6"/>
        <v>0</v>
      </c>
      <c r="AJ16" s="121">
        <f t="shared" si="7"/>
        <v>0</v>
      </c>
      <c r="AK16" s="102">
        <v>700</v>
      </c>
    </row>
    <row r="17" spans="1:37" x14ac:dyDescent="0.35">
      <c r="A17" s="25" t="s">
        <v>13</v>
      </c>
      <c r="B17" s="26" t="s">
        <v>63</v>
      </c>
      <c r="C17" s="25" t="s">
        <v>64</v>
      </c>
      <c r="D17" s="61">
        <v>1920</v>
      </c>
      <c r="E17" s="66">
        <v>400</v>
      </c>
      <c r="F17" s="63">
        <v>800</v>
      </c>
      <c r="G17" s="80">
        <f>(D17-(H17*(18/100)))*(100/46)</f>
        <v>3833.6483931947068</v>
      </c>
      <c r="H17" s="125">
        <f t="shared" si="8"/>
        <v>869.56521739130426</v>
      </c>
      <c r="I17" s="163">
        <f t="shared" si="9"/>
        <v>1333.3333333333335</v>
      </c>
      <c r="J17" s="61">
        <f t="shared" si="10"/>
        <v>1804.0698320916267</v>
      </c>
      <c r="K17" s="66">
        <f t="shared" si="11"/>
        <v>267.55852842809361</v>
      </c>
      <c r="L17" s="63">
        <f t="shared" si="12"/>
        <v>205.12820512820514</v>
      </c>
      <c r="M17" s="61">
        <f t="shared" si="13"/>
        <v>902.03491604581336</v>
      </c>
      <c r="N17" s="76">
        <f t="shared" si="14"/>
        <v>267.55852842809361</v>
      </c>
      <c r="O17" s="75">
        <f t="shared" si="15"/>
        <v>410.25641025641028</v>
      </c>
      <c r="P17" s="61">
        <f t="shared" si="16"/>
        <v>1127.5436450572668</v>
      </c>
      <c r="Q17" s="76">
        <f t="shared" si="17"/>
        <v>334.44816053511698</v>
      </c>
      <c r="R17" s="75">
        <f t="shared" si="18"/>
        <v>410.25641025641028</v>
      </c>
      <c r="S17" s="61">
        <f t="shared" si="19"/>
        <v>0</v>
      </c>
      <c r="T17" s="76">
        <f t="shared" si="20"/>
        <v>0</v>
      </c>
      <c r="U17" s="75">
        <f t="shared" si="21"/>
        <v>307.69230769230774</v>
      </c>
      <c r="V17" s="137">
        <v>5</v>
      </c>
      <c r="W17" s="80">
        <f t="shared" ref="W17:W39" si="23">Z17+AC17+AF17+AI17</f>
        <v>3800</v>
      </c>
      <c r="X17" s="80">
        <f t="shared" si="22"/>
        <v>900</v>
      </c>
      <c r="Y17" s="80">
        <f t="shared" ref="Y17:Y39" si="24">AB17+AE17+AH17+AK17</f>
        <v>1600</v>
      </c>
      <c r="Z17" s="115">
        <v>1800</v>
      </c>
      <c r="AA17" s="121">
        <v>300</v>
      </c>
      <c r="AB17" s="64">
        <v>300</v>
      </c>
      <c r="AC17" s="118">
        <v>900</v>
      </c>
      <c r="AD17" s="121">
        <v>300</v>
      </c>
      <c r="AE17" s="64">
        <v>500</v>
      </c>
      <c r="AF17" s="118">
        <v>1100</v>
      </c>
      <c r="AG17" s="121">
        <v>300</v>
      </c>
      <c r="AH17" s="64">
        <v>500</v>
      </c>
      <c r="AI17" s="118">
        <f t="shared" si="6"/>
        <v>0</v>
      </c>
      <c r="AJ17" s="121">
        <f t="shared" si="7"/>
        <v>0</v>
      </c>
      <c r="AK17" s="104">
        <v>300</v>
      </c>
    </row>
    <row r="18" spans="1:37" ht="18.600000000000001" thickBot="1" x14ac:dyDescent="0.4">
      <c r="A18" s="25" t="s">
        <v>13</v>
      </c>
      <c r="B18" s="26" t="s">
        <v>63</v>
      </c>
      <c r="C18" s="25" t="s">
        <v>17</v>
      </c>
      <c r="D18" s="68">
        <v>1920</v>
      </c>
      <c r="E18" s="69">
        <v>400</v>
      </c>
      <c r="F18" s="70">
        <v>400</v>
      </c>
      <c r="G18" s="80">
        <f t="shared" ref="G18:G39" si="25">(D18-(H18*(18/100)))*(100/46)</f>
        <v>3833.6483931947068</v>
      </c>
      <c r="H18" s="125">
        <f t="shared" si="8"/>
        <v>869.56521739130426</v>
      </c>
      <c r="I18" s="163">
        <f t="shared" si="9"/>
        <v>666.66666666666674</v>
      </c>
      <c r="J18" s="61">
        <f t="shared" si="10"/>
        <v>1804.0698320916267</v>
      </c>
      <c r="K18" s="66">
        <f t="shared" si="11"/>
        <v>267.55852842809361</v>
      </c>
      <c r="L18" s="63">
        <f t="shared" si="12"/>
        <v>102.56410256410257</v>
      </c>
      <c r="M18" s="61">
        <f t="shared" si="13"/>
        <v>902.03491604581336</v>
      </c>
      <c r="N18" s="76">
        <f t="shared" si="14"/>
        <v>267.55852842809361</v>
      </c>
      <c r="O18" s="75">
        <f t="shared" si="15"/>
        <v>205.12820512820514</v>
      </c>
      <c r="P18" s="61">
        <f t="shared" si="16"/>
        <v>1127.5436450572668</v>
      </c>
      <c r="Q18" s="76">
        <f t="shared" si="17"/>
        <v>334.44816053511698</v>
      </c>
      <c r="R18" s="75">
        <f t="shared" si="18"/>
        <v>205.12820512820514</v>
      </c>
      <c r="S18" s="61">
        <f t="shared" si="19"/>
        <v>0</v>
      </c>
      <c r="T18" s="76">
        <f t="shared" si="20"/>
        <v>0</v>
      </c>
      <c r="U18" s="75">
        <f t="shared" si="21"/>
        <v>153.84615384615387</v>
      </c>
      <c r="V18" s="3">
        <v>6</v>
      </c>
      <c r="W18" s="80">
        <f t="shared" si="23"/>
        <v>3800</v>
      </c>
      <c r="X18" s="80">
        <f t="shared" si="22"/>
        <v>900</v>
      </c>
      <c r="Y18" s="80">
        <f t="shared" si="24"/>
        <v>800</v>
      </c>
      <c r="Z18" s="115">
        <v>1800</v>
      </c>
      <c r="AA18" s="121">
        <v>300</v>
      </c>
      <c r="AB18" s="107">
        <v>100</v>
      </c>
      <c r="AC18" s="118">
        <v>900</v>
      </c>
      <c r="AD18" s="121">
        <v>300</v>
      </c>
      <c r="AE18" s="107">
        <v>200</v>
      </c>
      <c r="AF18" s="118">
        <v>1100</v>
      </c>
      <c r="AG18" s="121">
        <v>300</v>
      </c>
      <c r="AH18" s="107">
        <v>300</v>
      </c>
      <c r="AI18" s="118">
        <f t="shared" si="6"/>
        <v>0</v>
      </c>
      <c r="AJ18" s="121">
        <f t="shared" si="7"/>
        <v>0</v>
      </c>
      <c r="AK18" s="109">
        <v>200</v>
      </c>
    </row>
    <row r="19" spans="1:37" x14ac:dyDescent="0.35">
      <c r="A19" s="27" t="s">
        <v>13</v>
      </c>
      <c r="B19" s="28" t="s">
        <v>18</v>
      </c>
      <c r="C19" s="27" t="s">
        <v>15</v>
      </c>
      <c r="D19" s="61">
        <v>1920</v>
      </c>
      <c r="E19" s="66">
        <v>200</v>
      </c>
      <c r="F19" s="63">
        <v>1600</v>
      </c>
      <c r="G19" s="80">
        <f t="shared" si="25"/>
        <v>4003.7807183364835</v>
      </c>
      <c r="H19" s="125">
        <f t="shared" si="8"/>
        <v>434.78260869565213</v>
      </c>
      <c r="I19" s="163">
        <f t="shared" si="9"/>
        <v>2666.666666666667</v>
      </c>
      <c r="J19" s="61">
        <f>(G19*$J$12)/$G$12</f>
        <v>1884.1321027465804</v>
      </c>
      <c r="K19" s="66">
        <f t="shared" si="11"/>
        <v>133.7792642140468</v>
      </c>
      <c r="L19" s="63">
        <f t="shared" si="12"/>
        <v>410.25641025641028</v>
      </c>
      <c r="M19" s="61">
        <f t="shared" si="13"/>
        <v>942.06605137329018</v>
      </c>
      <c r="N19" s="76">
        <f t="shared" si="14"/>
        <v>133.7792642140468</v>
      </c>
      <c r="O19" s="75">
        <f t="shared" si="15"/>
        <v>820.51282051282055</v>
      </c>
      <c r="P19" s="61">
        <f t="shared" si="16"/>
        <v>1177.5825642166128</v>
      </c>
      <c r="Q19" s="76">
        <f t="shared" si="17"/>
        <v>167.22408026755849</v>
      </c>
      <c r="R19" s="75">
        <f t="shared" si="18"/>
        <v>820.51282051282055</v>
      </c>
      <c r="S19" s="61">
        <f t="shared" si="19"/>
        <v>0</v>
      </c>
      <c r="T19" s="76">
        <f t="shared" si="20"/>
        <v>0</v>
      </c>
      <c r="U19" s="75">
        <f t="shared" si="21"/>
        <v>615.38461538461547</v>
      </c>
      <c r="V19" s="24">
        <v>7</v>
      </c>
      <c r="W19" s="80">
        <f>Z19+AC19+AF19+AI19</f>
        <v>4000</v>
      </c>
      <c r="X19" s="80">
        <f>AA19+AD19+AG19+AJ19</f>
        <v>400</v>
      </c>
      <c r="Y19" s="80">
        <f t="shared" si="24"/>
        <v>3200</v>
      </c>
      <c r="Z19" s="114">
        <v>1900</v>
      </c>
      <c r="AA19" s="120">
        <v>100</v>
      </c>
      <c r="AB19" s="100">
        <v>500</v>
      </c>
      <c r="AC19" s="117">
        <v>1000</v>
      </c>
      <c r="AD19" s="120">
        <v>100</v>
      </c>
      <c r="AE19" s="100">
        <v>1000</v>
      </c>
      <c r="AF19" s="117">
        <v>1100</v>
      </c>
      <c r="AG19" s="120">
        <v>200</v>
      </c>
      <c r="AH19" s="100">
        <v>1000</v>
      </c>
      <c r="AI19" s="117">
        <f t="shared" si="6"/>
        <v>0</v>
      </c>
      <c r="AJ19" s="120">
        <f t="shared" si="7"/>
        <v>0</v>
      </c>
      <c r="AK19" s="102">
        <v>700</v>
      </c>
    </row>
    <row r="20" spans="1:37" x14ac:dyDescent="0.35">
      <c r="A20" s="27" t="s">
        <v>13</v>
      </c>
      <c r="B20" s="28" t="s">
        <v>18</v>
      </c>
      <c r="C20" s="27" t="s">
        <v>64</v>
      </c>
      <c r="D20" s="61">
        <v>1920</v>
      </c>
      <c r="E20" s="66">
        <v>200</v>
      </c>
      <c r="F20" s="63">
        <v>800</v>
      </c>
      <c r="G20" s="80">
        <f t="shared" si="25"/>
        <v>4003.7807183364835</v>
      </c>
      <c r="H20" s="125">
        <f t="shared" si="8"/>
        <v>434.78260869565213</v>
      </c>
      <c r="I20" s="163">
        <f t="shared" si="9"/>
        <v>1333.3333333333335</v>
      </c>
      <c r="J20" s="61">
        <f t="shared" si="10"/>
        <v>1884.1321027465804</v>
      </c>
      <c r="K20" s="66">
        <f t="shared" si="11"/>
        <v>133.7792642140468</v>
      </c>
      <c r="L20" s="63">
        <f t="shared" si="12"/>
        <v>205.12820512820514</v>
      </c>
      <c r="M20" s="61">
        <f t="shared" si="13"/>
        <v>942.06605137329018</v>
      </c>
      <c r="N20" s="76">
        <f t="shared" si="14"/>
        <v>133.7792642140468</v>
      </c>
      <c r="O20" s="75">
        <f t="shared" si="15"/>
        <v>410.25641025641028</v>
      </c>
      <c r="P20" s="61">
        <f t="shared" si="16"/>
        <v>1177.5825642166128</v>
      </c>
      <c r="Q20" s="76">
        <f t="shared" si="17"/>
        <v>167.22408026755849</v>
      </c>
      <c r="R20" s="75">
        <f t="shared" si="18"/>
        <v>410.25641025641028</v>
      </c>
      <c r="S20" s="61">
        <f t="shared" si="19"/>
        <v>0</v>
      </c>
      <c r="T20" s="76">
        <f t="shared" si="20"/>
        <v>0</v>
      </c>
      <c r="U20" s="75">
        <f t="shared" si="21"/>
        <v>307.69230769230774</v>
      </c>
      <c r="V20" s="3">
        <v>8</v>
      </c>
      <c r="W20" s="80">
        <f t="shared" si="23"/>
        <v>4000</v>
      </c>
      <c r="X20" s="80">
        <f t="shared" si="22"/>
        <v>400</v>
      </c>
      <c r="Y20" s="80">
        <f t="shared" si="24"/>
        <v>1600</v>
      </c>
      <c r="Z20" s="115">
        <v>1900</v>
      </c>
      <c r="AA20" s="121">
        <v>100</v>
      </c>
      <c r="AB20" s="64">
        <v>300</v>
      </c>
      <c r="AC20" s="118">
        <v>1000</v>
      </c>
      <c r="AD20" s="121">
        <v>100</v>
      </c>
      <c r="AE20" s="64">
        <v>500</v>
      </c>
      <c r="AF20" s="118">
        <v>1100</v>
      </c>
      <c r="AG20" s="121">
        <v>200</v>
      </c>
      <c r="AH20" s="64">
        <v>500</v>
      </c>
      <c r="AI20" s="118">
        <f t="shared" si="6"/>
        <v>0</v>
      </c>
      <c r="AJ20" s="121">
        <f t="shared" si="7"/>
        <v>0</v>
      </c>
      <c r="AK20" s="104">
        <v>300</v>
      </c>
    </row>
    <row r="21" spans="1:37" ht="18.600000000000001" thickBot="1" x14ac:dyDescent="0.4">
      <c r="A21" s="27" t="s">
        <v>13</v>
      </c>
      <c r="B21" s="28" t="s">
        <v>18</v>
      </c>
      <c r="C21" s="27" t="s">
        <v>17</v>
      </c>
      <c r="D21" s="68">
        <v>1920</v>
      </c>
      <c r="E21" s="69">
        <v>200</v>
      </c>
      <c r="F21" s="70">
        <v>400</v>
      </c>
      <c r="G21" s="80">
        <f t="shared" si="25"/>
        <v>4003.7807183364835</v>
      </c>
      <c r="H21" s="125">
        <f t="shared" si="8"/>
        <v>434.78260869565213</v>
      </c>
      <c r="I21" s="163">
        <f t="shared" si="9"/>
        <v>666.66666666666674</v>
      </c>
      <c r="J21" s="61">
        <f t="shared" si="10"/>
        <v>1884.1321027465804</v>
      </c>
      <c r="K21" s="66">
        <f t="shared" si="11"/>
        <v>133.7792642140468</v>
      </c>
      <c r="L21" s="63">
        <f t="shared" si="12"/>
        <v>102.56410256410257</v>
      </c>
      <c r="M21" s="61">
        <f t="shared" si="13"/>
        <v>942.06605137329018</v>
      </c>
      <c r="N21" s="76">
        <f t="shared" si="14"/>
        <v>133.7792642140468</v>
      </c>
      <c r="O21" s="75">
        <f t="shared" si="15"/>
        <v>205.12820512820514</v>
      </c>
      <c r="P21" s="61">
        <f t="shared" si="16"/>
        <v>1177.5825642166128</v>
      </c>
      <c r="Q21" s="76">
        <f t="shared" si="17"/>
        <v>167.22408026755849</v>
      </c>
      <c r="R21" s="75">
        <f t="shared" si="18"/>
        <v>205.12820512820514</v>
      </c>
      <c r="S21" s="61">
        <f t="shared" si="19"/>
        <v>0</v>
      </c>
      <c r="T21" s="76">
        <f t="shared" si="20"/>
        <v>0</v>
      </c>
      <c r="U21" s="75">
        <f t="shared" si="21"/>
        <v>153.84615384615387</v>
      </c>
      <c r="V21" s="3">
        <v>9</v>
      </c>
      <c r="W21" s="80">
        <f t="shared" si="23"/>
        <v>4000</v>
      </c>
      <c r="X21" s="80">
        <f t="shared" si="22"/>
        <v>400</v>
      </c>
      <c r="Y21" s="80">
        <f t="shared" si="24"/>
        <v>800</v>
      </c>
      <c r="Z21" s="116">
        <v>1900</v>
      </c>
      <c r="AA21" s="122">
        <v>100</v>
      </c>
      <c r="AB21" s="107">
        <v>100</v>
      </c>
      <c r="AC21" s="119">
        <v>1000</v>
      </c>
      <c r="AD21" s="122">
        <v>100</v>
      </c>
      <c r="AE21" s="107">
        <v>200</v>
      </c>
      <c r="AF21" s="119">
        <v>1100</v>
      </c>
      <c r="AG21" s="122">
        <v>200</v>
      </c>
      <c r="AH21" s="107">
        <v>300</v>
      </c>
      <c r="AI21" s="119">
        <f t="shared" si="6"/>
        <v>0</v>
      </c>
      <c r="AJ21" s="122">
        <f t="shared" si="7"/>
        <v>0</v>
      </c>
      <c r="AK21" s="109">
        <v>200</v>
      </c>
    </row>
    <row r="22" spans="1:37" x14ac:dyDescent="0.35">
      <c r="A22" s="29" t="s">
        <v>19</v>
      </c>
      <c r="B22" s="30" t="s">
        <v>14</v>
      </c>
      <c r="C22" s="31" t="s">
        <v>15</v>
      </c>
      <c r="D22" s="71">
        <v>960</v>
      </c>
      <c r="E22" s="62">
        <v>800</v>
      </c>
      <c r="F22" s="72">
        <v>1600</v>
      </c>
      <c r="G22" s="80">
        <f t="shared" si="25"/>
        <v>1406.4272211720227</v>
      </c>
      <c r="H22" s="125">
        <f t="shared" si="8"/>
        <v>1739.1304347826085</v>
      </c>
      <c r="I22" s="163">
        <f t="shared" si="9"/>
        <v>2666.666666666667</v>
      </c>
      <c r="J22" s="61">
        <f t="shared" si="10"/>
        <v>661.84810408095188</v>
      </c>
      <c r="K22" s="66">
        <f t="shared" si="11"/>
        <v>535.11705685618722</v>
      </c>
      <c r="L22" s="63">
        <f t="shared" si="12"/>
        <v>410.25641025641028</v>
      </c>
      <c r="M22" s="61">
        <f t="shared" si="13"/>
        <v>330.92405204047594</v>
      </c>
      <c r="N22" s="76">
        <f t="shared" si="14"/>
        <v>535.11705685618722</v>
      </c>
      <c r="O22" s="75">
        <f t="shared" si="15"/>
        <v>820.51282051282055</v>
      </c>
      <c r="P22" s="61">
        <f t="shared" si="16"/>
        <v>413.65506505059489</v>
      </c>
      <c r="Q22" s="76">
        <f t="shared" si="17"/>
        <v>668.89632107023397</v>
      </c>
      <c r="R22" s="75">
        <f t="shared" si="18"/>
        <v>820.51282051282055</v>
      </c>
      <c r="S22" s="61">
        <f t="shared" si="19"/>
        <v>0</v>
      </c>
      <c r="T22" s="76">
        <f t="shared" si="20"/>
        <v>0</v>
      </c>
      <c r="U22" s="75">
        <f t="shared" si="21"/>
        <v>615.38461538461547</v>
      </c>
      <c r="V22" s="3">
        <v>10</v>
      </c>
      <c r="W22" s="80">
        <f>Z22+AC22+AF22+AI22</f>
        <v>1400</v>
      </c>
      <c r="X22" s="80">
        <f>AA22+AD22+AG22+AJ22</f>
        <v>1800</v>
      </c>
      <c r="Y22" s="80">
        <f>AB22+AE22+AH22+AK22</f>
        <v>3200</v>
      </c>
      <c r="Z22" s="115">
        <v>700</v>
      </c>
      <c r="AA22" s="120">
        <v>500</v>
      </c>
      <c r="AB22" s="100">
        <v>500</v>
      </c>
      <c r="AC22" s="118">
        <v>300</v>
      </c>
      <c r="AD22" s="120">
        <v>600</v>
      </c>
      <c r="AE22" s="100">
        <v>1000</v>
      </c>
      <c r="AF22" s="118">
        <v>400</v>
      </c>
      <c r="AG22" s="120">
        <v>700</v>
      </c>
      <c r="AH22" s="100">
        <v>1000</v>
      </c>
      <c r="AI22" s="118">
        <f t="shared" si="6"/>
        <v>0</v>
      </c>
      <c r="AJ22" s="121">
        <f t="shared" si="7"/>
        <v>0</v>
      </c>
      <c r="AK22" s="102">
        <v>700</v>
      </c>
    </row>
    <row r="23" spans="1:37" x14ac:dyDescent="0.35">
      <c r="A23" s="29" t="s">
        <v>19</v>
      </c>
      <c r="B23" s="30" t="s">
        <v>14</v>
      </c>
      <c r="C23" s="31" t="s">
        <v>64</v>
      </c>
      <c r="D23" s="61">
        <v>960</v>
      </c>
      <c r="E23" s="66">
        <v>800</v>
      </c>
      <c r="F23" s="63">
        <v>800</v>
      </c>
      <c r="G23" s="80">
        <f t="shared" si="25"/>
        <v>1406.4272211720227</v>
      </c>
      <c r="H23" s="125">
        <f t="shared" si="8"/>
        <v>1739.1304347826085</v>
      </c>
      <c r="I23" s="163">
        <f t="shared" si="9"/>
        <v>1333.3333333333335</v>
      </c>
      <c r="J23" s="61">
        <f t="shared" si="10"/>
        <v>661.84810408095188</v>
      </c>
      <c r="K23" s="66">
        <f t="shared" si="11"/>
        <v>535.11705685618722</v>
      </c>
      <c r="L23" s="63">
        <f t="shared" si="12"/>
        <v>205.12820512820514</v>
      </c>
      <c r="M23" s="61">
        <f t="shared" si="13"/>
        <v>330.92405204047594</v>
      </c>
      <c r="N23" s="76">
        <f t="shared" si="14"/>
        <v>535.11705685618722</v>
      </c>
      <c r="O23" s="75">
        <f t="shared" si="15"/>
        <v>410.25641025641028</v>
      </c>
      <c r="P23" s="61">
        <f t="shared" si="16"/>
        <v>413.65506505059489</v>
      </c>
      <c r="Q23" s="76">
        <f t="shared" si="17"/>
        <v>668.89632107023397</v>
      </c>
      <c r="R23" s="75">
        <f t="shared" si="18"/>
        <v>410.25641025641028</v>
      </c>
      <c r="S23" s="61">
        <f t="shared" si="19"/>
        <v>0</v>
      </c>
      <c r="T23" s="76">
        <f t="shared" si="20"/>
        <v>0</v>
      </c>
      <c r="U23" s="75">
        <f t="shared" si="21"/>
        <v>307.69230769230774</v>
      </c>
      <c r="V23" s="24">
        <v>11</v>
      </c>
      <c r="W23" s="80">
        <f t="shared" si="23"/>
        <v>1400</v>
      </c>
      <c r="X23" s="80">
        <f t="shared" si="22"/>
        <v>1800</v>
      </c>
      <c r="Y23" s="80">
        <f t="shared" si="24"/>
        <v>1600</v>
      </c>
      <c r="Z23" s="115">
        <v>700</v>
      </c>
      <c r="AA23" s="121">
        <v>500</v>
      </c>
      <c r="AB23" s="64">
        <v>300</v>
      </c>
      <c r="AC23" s="118">
        <v>300</v>
      </c>
      <c r="AD23" s="121">
        <v>600</v>
      </c>
      <c r="AE23" s="64">
        <v>500</v>
      </c>
      <c r="AF23" s="118">
        <v>400</v>
      </c>
      <c r="AG23" s="121">
        <v>700</v>
      </c>
      <c r="AH23" s="64">
        <v>500</v>
      </c>
      <c r="AI23" s="118">
        <f t="shared" si="6"/>
        <v>0</v>
      </c>
      <c r="AJ23" s="121">
        <f t="shared" si="7"/>
        <v>0</v>
      </c>
      <c r="AK23" s="104">
        <v>300</v>
      </c>
    </row>
    <row r="24" spans="1:37" ht="18.600000000000001" thickBot="1" x14ac:dyDescent="0.4">
      <c r="A24" s="29" t="s">
        <v>19</v>
      </c>
      <c r="B24" s="30" t="s">
        <v>14</v>
      </c>
      <c r="C24" s="31" t="s">
        <v>17</v>
      </c>
      <c r="D24" s="68">
        <v>960</v>
      </c>
      <c r="E24" s="69">
        <v>800</v>
      </c>
      <c r="F24" s="70">
        <v>400</v>
      </c>
      <c r="G24" s="80">
        <f t="shared" si="25"/>
        <v>1406.4272211720227</v>
      </c>
      <c r="H24" s="125">
        <f t="shared" si="8"/>
        <v>1739.1304347826085</v>
      </c>
      <c r="I24" s="163">
        <f t="shared" si="9"/>
        <v>666.66666666666674</v>
      </c>
      <c r="J24" s="61">
        <f t="shared" si="10"/>
        <v>661.84810408095188</v>
      </c>
      <c r="K24" s="66">
        <f t="shared" si="11"/>
        <v>535.11705685618722</v>
      </c>
      <c r="L24" s="63">
        <f t="shared" si="12"/>
        <v>102.56410256410257</v>
      </c>
      <c r="M24" s="61">
        <f t="shared" si="13"/>
        <v>330.92405204047594</v>
      </c>
      <c r="N24" s="76">
        <f t="shared" si="14"/>
        <v>535.11705685618722</v>
      </c>
      <c r="O24" s="75">
        <f t="shared" si="15"/>
        <v>205.12820512820514</v>
      </c>
      <c r="P24" s="61">
        <f t="shared" si="16"/>
        <v>413.65506505059489</v>
      </c>
      <c r="Q24" s="76">
        <f t="shared" si="17"/>
        <v>668.89632107023397</v>
      </c>
      <c r="R24" s="75">
        <f t="shared" si="18"/>
        <v>205.12820512820514</v>
      </c>
      <c r="S24" s="61">
        <f t="shared" si="19"/>
        <v>0</v>
      </c>
      <c r="T24" s="76">
        <f t="shared" si="20"/>
        <v>0</v>
      </c>
      <c r="U24" s="75">
        <f t="shared" si="21"/>
        <v>153.84615384615387</v>
      </c>
      <c r="V24" s="3">
        <v>12</v>
      </c>
      <c r="W24" s="80">
        <f t="shared" si="23"/>
        <v>1400</v>
      </c>
      <c r="X24" s="80">
        <f t="shared" si="22"/>
        <v>1800</v>
      </c>
      <c r="Y24" s="80">
        <f t="shared" si="24"/>
        <v>800</v>
      </c>
      <c r="Z24" s="115">
        <v>700</v>
      </c>
      <c r="AA24" s="122">
        <v>500</v>
      </c>
      <c r="AB24" s="107">
        <v>100</v>
      </c>
      <c r="AC24" s="118">
        <v>300</v>
      </c>
      <c r="AD24" s="122">
        <v>600</v>
      </c>
      <c r="AE24" s="107">
        <v>200</v>
      </c>
      <c r="AF24" s="118">
        <v>400</v>
      </c>
      <c r="AG24" s="122">
        <v>700</v>
      </c>
      <c r="AH24" s="107">
        <v>300</v>
      </c>
      <c r="AI24" s="118">
        <f t="shared" si="6"/>
        <v>0</v>
      </c>
      <c r="AJ24" s="121">
        <f t="shared" si="7"/>
        <v>0</v>
      </c>
      <c r="AK24" s="109">
        <v>200</v>
      </c>
    </row>
    <row r="25" spans="1:37" x14ac:dyDescent="0.35">
      <c r="A25" s="32" t="s">
        <v>19</v>
      </c>
      <c r="B25" s="33" t="s">
        <v>63</v>
      </c>
      <c r="C25" s="34" t="s">
        <v>15</v>
      </c>
      <c r="D25" s="61">
        <v>960</v>
      </c>
      <c r="E25" s="66">
        <v>400</v>
      </c>
      <c r="F25" s="63">
        <v>1600</v>
      </c>
      <c r="G25" s="80">
        <f t="shared" si="25"/>
        <v>1746.6918714555766</v>
      </c>
      <c r="H25" s="125">
        <f t="shared" si="8"/>
        <v>869.56521739130426</v>
      </c>
      <c r="I25" s="163">
        <f t="shared" si="9"/>
        <v>2666.666666666667</v>
      </c>
      <c r="J25" s="61">
        <f t="shared" si="10"/>
        <v>821.97264539085961</v>
      </c>
      <c r="K25" s="66">
        <f t="shared" si="11"/>
        <v>267.55852842809361</v>
      </c>
      <c r="L25" s="63">
        <f t="shared" si="12"/>
        <v>410.25641025641028</v>
      </c>
      <c r="M25" s="61">
        <f t="shared" si="13"/>
        <v>410.98632269542981</v>
      </c>
      <c r="N25" s="76">
        <f t="shared" si="14"/>
        <v>267.55852842809361</v>
      </c>
      <c r="O25" s="75">
        <f t="shared" si="15"/>
        <v>820.51282051282055</v>
      </c>
      <c r="P25" s="61">
        <f t="shared" si="16"/>
        <v>513.73290336928721</v>
      </c>
      <c r="Q25" s="76">
        <f t="shared" si="17"/>
        <v>334.44816053511698</v>
      </c>
      <c r="R25" s="75">
        <f t="shared" si="18"/>
        <v>820.51282051282055</v>
      </c>
      <c r="S25" s="61">
        <f t="shared" si="19"/>
        <v>0</v>
      </c>
      <c r="T25" s="76">
        <f t="shared" si="20"/>
        <v>0</v>
      </c>
      <c r="U25" s="75">
        <f t="shared" si="21"/>
        <v>615.38461538461547</v>
      </c>
      <c r="V25" s="3">
        <v>13</v>
      </c>
      <c r="W25" s="80">
        <f>Z25+AC25+AF25+AI25</f>
        <v>1700</v>
      </c>
      <c r="X25" s="80">
        <f t="shared" si="22"/>
        <v>900</v>
      </c>
      <c r="Y25" s="80">
        <f t="shared" si="24"/>
        <v>3200</v>
      </c>
      <c r="Z25" s="114">
        <v>800</v>
      </c>
      <c r="AA25" s="121">
        <v>300</v>
      </c>
      <c r="AB25" s="100">
        <v>500</v>
      </c>
      <c r="AC25" s="117">
        <v>400</v>
      </c>
      <c r="AD25" s="121">
        <v>300</v>
      </c>
      <c r="AE25" s="100">
        <v>1000</v>
      </c>
      <c r="AF25" s="117">
        <v>500</v>
      </c>
      <c r="AG25" s="121">
        <v>300</v>
      </c>
      <c r="AH25" s="100">
        <v>1000</v>
      </c>
      <c r="AI25" s="117">
        <f t="shared" si="6"/>
        <v>0</v>
      </c>
      <c r="AJ25" s="120">
        <f t="shared" si="7"/>
        <v>0</v>
      </c>
      <c r="AK25" s="102">
        <v>700</v>
      </c>
    </row>
    <row r="26" spans="1:37" x14ac:dyDescent="0.35">
      <c r="A26" s="32" t="s">
        <v>19</v>
      </c>
      <c r="B26" s="33" t="s">
        <v>63</v>
      </c>
      <c r="C26" s="34" t="s">
        <v>64</v>
      </c>
      <c r="D26" s="61">
        <v>960</v>
      </c>
      <c r="E26" s="66">
        <v>400</v>
      </c>
      <c r="F26" s="63">
        <v>800</v>
      </c>
      <c r="G26" s="80">
        <f t="shared" si="25"/>
        <v>1746.6918714555766</v>
      </c>
      <c r="H26" s="125">
        <f t="shared" si="8"/>
        <v>869.56521739130426</v>
      </c>
      <c r="I26" s="163">
        <f t="shared" si="9"/>
        <v>1333.3333333333335</v>
      </c>
      <c r="J26" s="61">
        <f t="shared" si="10"/>
        <v>821.97264539085961</v>
      </c>
      <c r="K26" s="66">
        <f t="shared" si="11"/>
        <v>267.55852842809361</v>
      </c>
      <c r="L26" s="63">
        <f t="shared" si="12"/>
        <v>205.12820512820514</v>
      </c>
      <c r="M26" s="61">
        <f t="shared" si="13"/>
        <v>410.98632269542981</v>
      </c>
      <c r="N26" s="76">
        <f t="shared" si="14"/>
        <v>267.55852842809361</v>
      </c>
      <c r="O26" s="75">
        <f t="shared" si="15"/>
        <v>410.25641025641028</v>
      </c>
      <c r="P26" s="61">
        <f t="shared" si="16"/>
        <v>513.73290336928721</v>
      </c>
      <c r="Q26" s="76">
        <f t="shared" si="17"/>
        <v>334.44816053511698</v>
      </c>
      <c r="R26" s="75">
        <f t="shared" si="18"/>
        <v>410.25641025641028</v>
      </c>
      <c r="S26" s="61">
        <f t="shared" si="19"/>
        <v>0</v>
      </c>
      <c r="T26" s="76">
        <f t="shared" si="20"/>
        <v>0</v>
      </c>
      <c r="U26" s="75">
        <f t="shared" si="21"/>
        <v>307.69230769230774</v>
      </c>
      <c r="V26" s="3">
        <v>14</v>
      </c>
      <c r="W26" s="80">
        <f t="shared" si="23"/>
        <v>1700</v>
      </c>
      <c r="X26" s="80">
        <f t="shared" si="22"/>
        <v>900</v>
      </c>
      <c r="Y26" s="80">
        <f t="shared" si="24"/>
        <v>1600</v>
      </c>
      <c r="Z26" s="115">
        <v>800</v>
      </c>
      <c r="AA26" s="121">
        <v>300</v>
      </c>
      <c r="AB26" s="64">
        <v>300</v>
      </c>
      <c r="AC26" s="118">
        <v>400</v>
      </c>
      <c r="AD26" s="121">
        <v>300</v>
      </c>
      <c r="AE26" s="64">
        <v>500</v>
      </c>
      <c r="AF26" s="118">
        <v>500</v>
      </c>
      <c r="AG26" s="121">
        <v>300</v>
      </c>
      <c r="AH26" s="64">
        <v>500</v>
      </c>
      <c r="AI26" s="118">
        <f t="shared" si="6"/>
        <v>0</v>
      </c>
      <c r="AJ26" s="121">
        <f t="shared" si="7"/>
        <v>0</v>
      </c>
      <c r="AK26" s="104">
        <v>300</v>
      </c>
    </row>
    <row r="27" spans="1:37" x14ac:dyDescent="0.35">
      <c r="A27" s="32" t="s">
        <v>19</v>
      </c>
      <c r="B27" s="33" t="s">
        <v>63</v>
      </c>
      <c r="C27" s="34" t="s">
        <v>17</v>
      </c>
      <c r="D27" s="61">
        <v>960</v>
      </c>
      <c r="E27" s="66">
        <v>400</v>
      </c>
      <c r="F27" s="63">
        <v>400</v>
      </c>
      <c r="G27" s="80">
        <f t="shared" si="25"/>
        <v>1746.6918714555766</v>
      </c>
      <c r="H27" s="125">
        <f t="shared" si="8"/>
        <v>869.56521739130426</v>
      </c>
      <c r="I27" s="163">
        <f t="shared" si="9"/>
        <v>666.66666666666674</v>
      </c>
      <c r="J27" s="61">
        <f t="shared" si="10"/>
        <v>821.97264539085961</v>
      </c>
      <c r="K27" s="66">
        <f t="shared" si="11"/>
        <v>267.55852842809361</v>
      </c>
      <c r="L27" s="63">
        <f t="shared" si="12"/>
        <v>102.56410256410257</v>
      </c>
      <c r="M27" s="61">
        <f t="shared" si="13"/>
        <v>410.98632269542981</v>
      </c>
      <c r="N27" s="76">
        <f t="shared" si="14"/>
        <v>267.55852842809361</v>
      </c>
      <c r="O27" s="75">
        <f t="shared" si="15"/>
        <v>205.12820512820514</v>
      </c>
      <c r="P27" s="61">
        <f t="shared" si="16"/>
        <v>513.73290336928721</v>
      </c>
      <c r="Q27" s="76">
        <f t="shared" si="17"/>
        <v>334.44816053511698</v>
      </c>
      <c r="R27" s="75">
        <f t="shared" si="18"/>
        <v>205.12820512820514</v>
      </c>
      <c r="S27" s="61">
        <f t="shared" si="19"/>
        <v>0</v>
      </c>
      <c r="T27" s="76">
        <f t="shared" si="20"/>
        <v>0</v>
      </c>
      <c r="U27" s="75">
        <f t="shared" si="21"/>
        <v>153.84615384615387</v>
      </c>
      <c r="V27" s="24">
        <v>15</v>
      </c>
      <c r="W27" s="80">
        <f t="shared" si="23"/>
        <v>1700</v>
      </c>
      <c r="X27" s="80">
        <f t="shared" si="22"/>
        <v>900</v>
      </c>
      <c r="Y27" s="80">
        <f t="shared" si="24"/>
        <v>800</v>
      </c>
      <c r="Z27" s="116">
        <v>800</v>
      </c>
      <c r="AA27" s="121">
        <v>300</v>
      </c>
      <c r="AB27" s="107">
        <v>100</v>
      </c>
      <c r="AC27" s="119">
        <v>400</v>
      </c>
      <c r="AD27" s="121">
        <v>300</v>
      </c>
      <c r="AE27" s="107">
        <v>200</v>
      </c>
      <c r="AF27" s="119">
        <v>500</v>
      </c>
      <c r="AG27" s="121">
        <v>300</v>
      </c>
      <c r="AH27" s="107">
        <v>300</v>
      </c>
      <c r="AI27" s="119">
        <f t="shared" si="6"/>
        <v>0</v>
      </c>
      <c r="AJ27" s="122">
        <f t="shared" si="7"/>
        <v>0</v>
      </c>
      <c r="AK27" s="109">
        <v>200</v>
      </c>
    </row>
    <row r="28" spans="1:37" x14ac:dyDescent="0.35">
      <c r="A28" s="35" t="s">
        <v>19</v>
      </c>
      <c r="B28" s="36" t="s">
        <v>18</v>
      </c>
      <c r="C28" s="37" t="s">
        <v>15</v>
      </c>
      <c r="D28" s="61">
        <v>960</v>
      </c>
      <c r="E28" s="66">
        <v>200</v>
      </c>
      <c r="F28" s="63">
        <v>1600</v>
      </c>
      <c r="G28" s="80">
        <f t="shared" si="25"/>
        <v>1916.8241965973534</v>
      </c>
      <c r="H28" s="125">
        <f t="shared" si="8"/>
        <v>434.78260869565213</v>
      </c>
      <c r="I28" s="163">
        <f t="shared" si="9"/>
        <v>2666.666666666667</v>
      </c>
      <c r="J28" s="61">
        <f t="shared" si="10"/>
        <v>902.03491604581336</v>
      </c>
      <c r="K28" s="66">
        <f t="shared" si="11"/>
        <v>133.7792642140468</v>
      </c>
      <c r="L28" s="63">
        <f t="shared" si="12"/>
        <v>410.25641025641028</v>
      </c>
      <c r="M28" s="61">
        <f t="shared" si="13"/>
        <v>451.01745802290668</v>
      </c>
      <c r="N28" s="76">
        <f t="shared" si="14"/>
        <v>133.7792642140468</v>
      </c>
      <c r="O28" s="75">
        <f t="shared" si="15"/>
        <v>820.51282051282055</v>
      </c>
      <c r="P28" s="61">
        <f t="shared" si="16"/>
        <v>563.77182252863338</v>
      </c>
      <c r="Q28" s="76">
        <f t="shared" si="17"/>
        <v>167.22408026755849</v>
      </c>
      <c r="R28" s="75">
        <f t="shared" si="18"/>
        <v>820.51282051282055</v>
      </c>
      <c r="S28" s="61">
        <f t="shared" si="19"/>
        <v>0</v>
      </c>
      <c r="T28" s="76">
        <f t="shared" si="20"/>
        <v>0</v>
      </c>
      <c r="U28" s="75">
        <f t="shared" si="21"/>
        <v>615.38461538461547</v>
      </c>
      <c r="V28" s="3">
        <v>16</v>
      </c>
      <c r="W28" s="80">
        <f>Z28+AC28+AF28+AI28</f>
        <v>2000</v>
      </c>
      <c r="X28" s="80">
        <f>AA28+AD28+AG28+AJ28</f>
        <v>400</v>
      </c>
      <c r="Y28" s="80">
        <f t="shared" si="24"/>
        <v>3200</v>
      </c>
      <c r="Z28" s="115">
        <v>900</v>
      </c>
      <c r="AA28" s="120">
        <v>100</v>
      </c>
      <c r="AB28" s="100">
        <v>500</v>
      </c>
      <c r="AC28" s="118">
        <v>500</v>
      </c>
      <c r="AD28" s="120">
        <v>100</v>
      </c>
      <c r="AE28" s="100">
        <v>1000</v>
      </c>
      <c r="AF28" s="118">
        <v>600</v>
      </c>
      <c r="AG28" s="120">
        <v>200</v>
      </c>
      <c r="AH28" s="100">
        <v>1000</v>
      </c>
      <c r="AI28" s="118">
        <f t="shared" si="6"/>
        <v>0</v>
      </c>
      <c r="AJ28" s="121">
        <f t="shared" si="7"/>
        <v>0</v>
      </c>
      <c r="AK28" s="102">
        <v>700</v>
      </c>
    </row>
    <row r="29" spans="1:37" x14ac:dyDescent="0.35">
      <c r="A29" s="35" t="s">
        <v>19</v>
      </c>
      <c r="B29" s="36" t="s">
        <v>18</v>
      </c>
      <c r="C29" s="37" t="s">
        <v>64</v>
      </c>
      <c r="D29" s="61">
        <v>960</v>
      </c>
      <c r="E29" s="66">
        <v>200</v>
      </c>
      <c r="F29" s="63">
        <v>800</v>
      </c>
      <c r="G29" s="80">
        <f t="shared" si="25"/>
        <v>1916.8241965973534</v>
      </c>
      <c r="H29" s="125">
        <f t="shared" si="8"/>
        <v>434.78260869565213</v>
      </c>
      <c r="I29" s="163">
        <f t="shared" si="9"/>
        <v>1333.3333333333335</v>
      </c>
      <c r="J29" s="61">
        <f t="shared" si="10"/>
        <v>902.03491604581336</v>
      </c>
      <c r="K29" s="66">
        <f t="shared" si="11"/>
        <v>133.7792642140468</v>
      </c>
      <c r="L29" s="63">
        <f t="shared" si="12"/>
        <v>205.12820512820514</v>
      </c>
      <c r="M29" s="61">
        <f t="shared" si="13"/>
        <v>451.01745802290668</v>
      </c>
      <c r="N29" s="76">
        <f t="shared" si="14"/>
        <v>133.7792642140468</v>
      </c>
      <c r="O29" s="75">
        <f t="shared" si="15"/>
        <v>410.25641025641028</v>
      </c>
      <c r="P29" s="61">
        <f t="shared" si="16"/>
        <v>563.77182252863338</v>
      </c>
      <c r="Q29" s="76">
        <f t="shared" si="17"/>
        <v>167.22408026755849</v>
      </c>
      <c r="R29" s="75">
        <f t="shared" si="18"/>
        <v>410.25641025641028</v>
      </c>
      <c r="S29" s="61">
        <f t="shared" si="19"/>
        <v>0</v>
      </c>
      <c r="T29" s="76">
        <f t="shared" si="20"/>
        <v>0</v>
      </c>
      <c r="U29" s="75">
        <f t="shared" si="21"/>
        <v>307.69230769230774</v>
      </c>
      <c r="V29" s="3">
        <v>17</v>
      </c>
      <c r="W29" s="80">
        <f t="shared" si="23"/>
        <v>2000</v>
      </c>
      <c r="X29" s="80">
        <f t="shared" si="22"/>
        <v>400</v>
      </c>
      <c r="Y29" s="80">
        <f t="shared" si="24"/>
        <v>1600</v>
      </c>
      <c r="Z29" s="115">
        <v>900</v>
      </c>
      <c r="AA29" s="121">
        <v>100</v>
      </c>
      <c r="AB29" s="64">
        <v>300</v>
      </c>
      <c r="AC29" s="118">
        <v>500</v>
      </c>
      <c r="AD29" s="121">
        <v>100</v>
      </c>
      <c r="AE29" s="64">
        <v>500</v>
      </c>
      <c r="AF29" s="118">
        <v>600</v>
      </c>
      <c r="AG29" s="121">
        <v>200</v>
      </c>
      <c r="AH29" s="64">
        <v>500</v>
      </c>
      <c r="AI29" s="118">
        <f t="shared" si="6"/>
        <v>0</v>
      </c>
      <c r="AJ29" s="121">
        <f t="shared" si="7"/>
        <v>0</v>
      </c>
      <c r="AK29" s="104">
        <v>300</v>
      </c>
    </row>
    <row r="30" spans="1:37" ht="18.600000000000001" thickBot="1" x14ac:dyDescent="0.4">
      <c r="A30" s="35" t="s">
        <v>19</v>
      </c>
      <c r="B30" s="36" t="s">
        <v>18</v>
      </c>
      <c r="C30" s="37" t="s">
        <v>17</v>
      </c>
      <c r="D30" s="68">
        <v>960</v>
      </c>
      <c r="E30" s="69">
        <v>200</v>
      </c>
      <c r="F30" s="70">
        <v>400</v>
      </c>
      <c r="G30" s="80">
        <f t="shared" si="25"/>
        <v>1916.8241965973534</v>
      </c>
      <c r="H30" s="125">
        <f t="shared" si="8"/>
        <v>434.78260869565213</v>
      </c>
      <c r="I30" s="163">
        <f t="shared" si="9"/>
        <v>666.66666666666674</v>
      </c>
      <c r="J30" s="61">
        <f t="shared" si="10"/>
        <v>902.03491604581336</v>
      </c>
      <c r="K30" s="66">
        <f t="shared" si="11"/>
        <v>133.7792642140468</v>
      </c>
      <c r="L30" s="63">
        <f t="shared" si="12"/>
        <v>102.56410256410257</v>
      </c>
      <c r="M30" s="61">
        <f t="shared" si="13"/>
        <v>451.01745802290668</v>
      </c>
      <c r="N30" s="76">
        <f t="shared" si="14"/>
        <v>133.7792642140468</v>
      </c>
      <c r="O30" s="75">
        <f t="shared" si="15"/>
        <v>205.12820512820514</v>
      </c>
      <c r="P30" s="61">
        <f t="shared" si="16"/>
        <v>563.77182252863338</v>
      </c>
      <c r="Q30" s="76">
        <f t="shared" si="17"/>
        <v>167.22408026755849</v>
      </c>
      <c r="R30" s="75">
        <f t="shared" si="18"/>
        <v>205.12820512820514</v>
      </c>
      <c r="S30" s="61">
        <f t="shared" si="19"/>
        <v>0</v>
      </c>
      <c r="T30" s="76">
        <f t="shared" si="20"/>
        <v>0</v>
      </c>
      <c r="U30" s="75">
        <f t="shared" si="21"/>
        <v>153.84615384615387</v>
      </c>
      <c r="V30" s="137">
        <v>18</v>
      </c>
      <c r="W30" s="80">
        <f t="shared" si="23"/>
        <v>2000</v>
      </c>
      <c r="X30" s="80">
        <f t="shared" si="22"/>
        <v>400</v>
      </c>
      <c r="Y30" s="80">
        <f t="shared" si="24"/>
        <v>800</v>
      </c>
      <c r="Z30" s="115">
        <v>900</v>
      </c>
      <c r="AA30" s="122">
        <v>100</v>
      </c>
      <c r="AB30" s="107">
        <v>100</v>
      </c>
      <c r="AC30" s="118">
        <v>500</v>
      </c>
      <c r="AD30" s="122">
        <v>100</v>
      </c>
      <c r="AE30" s="107">
        <v>200</v>
      </c>
      <c r="AF30" s="118">
        <v>600</v>
      </c>
      <c r="AG30" s="122">
        <v>200</v>
      </c>
      <c r="AH30" s="107">
        <v>300</v>
      </c>
      <c r="AI30" s="118">
        <f t="shared" si="6"/>
        <v>0</v>
      </c>
      <c r="AJ30" s="121">
        <f t="shared" si="7"/>
        <v>0</v>
      </c>
      <c r="AK30" s="109">
        <v>200</v>
      </c>
    </row>
    <row r="31" spans="1:37" x14ac:dyDescent="0.35">
      <c r="A31" s="38" t="s">
        <v>20</v>
      </c>
      <c r="B31" s="39" t="s">
        <v>14</v>
      </c>
      <c r="C31" s="40" t="s">
        <v>15</v>
      </c>
      <c r="D31" s="71">
        <v>720</v>
      </c>
      <c r="E31" s="62">
        <v>800</v>
      </c>
      <c r="F31" s="72">
        <v>1600</v>
      </c>
      <c r="G31" s="80">
        <f t="shared" si="25"/>
        <v>884.68809073724015</v>
      </c>
      <c r="H31" s="125">
        <f t="shared" si="8"/>
        <v>1739.1304347826085</v>
      </c>
      <c r="I31" s="163">
        <f t="shared" si="9"/>
        <v>2666.666666666667</v>
      </c>
      <c r="J31" s="61">
        <f t="shared" si="10"/>
        <v>416.32380740576008</v>
      </c>
      <c r="K31" s="66">
        <f t="shared" si="11"/>
        <v>535.11705685618722</v>
      </c>
      <c r="L31" s="63">
        <f t="shared" si="12"/>
        <v>410.25641025641028</v>
      </c>
      <c r="M31" s="61">
        <f t="shared" si="13"/>
        <v>208.16190370288004</v>
      </c>
      <c r="N31" s="76">
        <f t="shared" si="14"/>
        <v>535.11705685618722</v>
      </c>
      <c r="O31" s="75">
        <f t="shared" si="15"/>
        <v>820.51282051282055</v>
      </c>
      <c r="P31" s="61">
        <f t="shared" si="16"/>
        <v>260.2023796286</v>
      </c>
      <c r="Q31" s="76">
        <f t="shared" si="17"/>
        <v>668.89632107023397</v>
      </c>
      <c r="R31" s="75">
        <f t="shared" si="18"/>
        <v>820.51282051282055</v>
      </c>
      <c r="S31" s="61">
        <f t="shared" si="19"/>
        <v>0</v>
      </c>
      <c r="T31" s="76">
        <f t="shared" si="20"/>
        <v>0</v>
      </c>
      <c r="U31" s="75">
        <f t="shared" si="21"/>
        <v>615.38461538461547</v>
      </c>
      <c r="V31" s="24">
        <v>19</v>
      </c>
      <c r="W31" s="80">
        <f>Z31+AC31+AF31+AI31</f>
        <v>900</v>
      </c>
      <c r="X31" s="80">
        <f t="shared" si="22"/>
        <v>1800</v>
      </c>
      <c r="Y31" s="80">
        <f t="shared" si="24"/>
        <v>3200</v>
      </c>
      <c r="Z31" s="114">
        <v>500</v>
      </c>
      <c r="AA31" s="120">
        <v>500</v>
      </c>
      <c r="AB31" s="100">
        <v>500</v>
      </c>
      <c r="AC31" s="117">
        <v>200</v>
      </c>
      <c r="AD31" s="120">
        <v>600</v>
      </c>
      <c r="AE31" s="100">
        <v>1000</v>
      </c>
      <c r="AF31" s="117">
        <v>200</v>
      </c>
      <c r="AG31" s="120">
        <v>700</v>
      </c>
      <c r="AH31" s="100">
        <v>1000</v>
      </c>
      <c r="AI31" s="117">
        <f t="shared" si="6"/>
        <v>0</v>
      </c>
      <c r="AJ31" s="120">
        <f t="shared" si="7"/>
        <v>0</v>
      </c>
      <c r="AK31" s="102">
        <v>700</v>
      </c>
    </row>
    <row r="32" spans="1:37" x14ac:dyDescent="0.35">
      <c r="A32" s="38" t="s">
        <v>20</v>
      </c>
      <c r="B32" s="39" t="s">
        <v>14</v>
      </c>
      <c r="C32" s="40" t="s">
        <v>64</v>
      </c>
      <c r="D32" s="61">
        <v>720</v>
      </c>
      <c r="E32" s="66">
        <v>800</v>
      </c>
      <c r="F32" s="63">
        <v>800</v>
      </c>
      <c r="G32" s="80">
        <f t="shared" si="25"/>
        <v>884.68809073724015</v>
      </c>
      <c r="H32" s="125">
        <f t="shared" si="8"/>
        <v>1739.1304347826085</v>
      </c>
      <c r="I32" s="163">
        <f t="shared" si="9"/>
        <v>1333.3333333333335</v>
      </c>
      <c r="J32" s="61">
        <f t="shared" si="10"/>
        <v>416.32380740576008</v>
      </c>
      <c r="K32" s="66">
        <f t="shared" si="11"/>
        <v>535.11705685618722</v>
      </c>
      <c r="L32" s="63">
        <f t="shared" si="12"/>
        <v>205.12820512820514</v>
      </c>
      <c r="M32" s="61">
        <f t="shared" si="13"/>
        <v>208.16190370288004</v>
      </c>
      <c r="N32" s="76">
        <f t="shared" si="14"/>
        <v>535.11705685618722</v>
      </c>
      <c r="O32" s="75">
        <f t="shared" si="15"/>
        <v>410.25641025641028</v>
      </c>
      <c r="P32" s="61">
        <f>(G32*$P$12)/$G$12</f>
        <v>260.2023796286</v>
      </c>
      <c r="Q32" s="76">
        <f t="shared" si="17"/>
        <v>668.89632107023397</v>
      </c>
      <c r="R32" s="75">
        <f t="shared" si="18"/>
        <v>410.25641025641028</v>
      </c>
      <c r="S32" s="61">
        <f t="shared" si="19"/>
        <v>0</v>
      </c>
      <c r="T32" s="76">
        <f t="shared" si="20"/>
        <v>0</v>
      </c>
      <c r="U32" s="75">
        <f t="shared" si="21"/>
        <v>307.69230769230774</v>
      </c>
      <c r="V32" s="3">
        <v>20</v>
      </c>
      <c r="W32" s="80">
        <f t="shared" si="23"/>
        <v>900</v>
      </c>
      <c r="X32" s="80">
        <f t="shared" si="22"/>
        <v>1800</v>
      </c>
      <c r="Y32" s="80">
        <f t="shared" si="24"/>
        <v>1600</v>
      </c>
      <c r="Z32" s="115">
        <v>500</v>
      </c>
      <c r="AA32" s="121">
        <v>500</v>
      </c>
      <c r="AB32" s="64">
        <v>300</v>
      </c>
      <c r="AC32" s="118">
        <v>200</v>
      </c>
      <c r="AD32" s="121">
        <v>600</v>
      </c>
      <c r="AE32" s="64">
        <v>500</v>
      </c>
      <c r="AF32" s="118">
        <v>200</v>
      </c>
      <c r="AG32" s="121">
        <v>700</v>
      </c>
      <c r="AH32" s="64">
        <v>500</v>
      </c>
      <c r="AI32" s="118">
        <f t="shared" si="6"/>
        <v>0</v>
      </c>
      <c r="AJ32" s="121">
        <f t="shared" si="7"/>
        <v>0</v>
      </c>
      <c r="AK32" s="104">
        <v>300</v>
      </c>
    </row>
    <row r="33" spans="1:37" ht="18.600000000000001" thickBot="1" x14ac:dyDescent="0.4">
      <c r="A33" s="38" t="s">
        <v>20</v>
      </c>
      <c r="B33" s="39" t="s">
        <v>14</v>
      </c>
      <c r="C33" s="40" t="s">
        <v>17</v>
      </c>
      <c r="D33" s="68">
        <v>720</v>
      </c>
      <c r="E33" s="69">
        <v>800</v>
      </c>
      <c r="F33" s="70">
        <v>400</v>
      </c>
      <c r="G33" s="80">
        <f t="shared" si="25"/>
        <v>884.68809073724015</v>
      </c>
      <c r="H33" s="125">
        <f t="shared" si="8"/>
        <v>1739.1304347826085</v>
      </c>
      <c r="I33" s="163">
        <f t="shared" si="9"/>
        <v>666.66666666666674</v>
      </c>
      <c r="J33" s="61">
        <f t="shared" si="10"/>
        <v>416.32380740576008</v>
      </c>
      <c r="K33" s="66">
        <f t="shared" si="11"/>
        <v>535.11705685618722</v>
      </c>
      <c r="L33" s="63">
        <f t="shared" si="12"/>
        <v>102.56410256410257</v>
      </c>
      <c r="M33" s="61">
        <f t="shared" si="13"/>
        <v>208.16190370288004</v>
      </c>
      <c r="N33" s="76">
        <f t="shared" si="14"/>
        <v>535.11705685618722</v>
      </c>
      <c r="O33" s="75">
        <f t="shared" si="15"/>
        <v>205.12820512820514</v>
      </c>
      <c r="P33" s="61">
        <f t="shared" si="16"/>
        <v>260.2023796286</v>
      </c>
      <c r="Q33" s="76">
        <f t="shared" si="17"/>
        <v>668.89632107023397</v>
      </c>
      <c r="R33" s="75">
        <f t="shared" si="18"/>
        <v>205.12820512820514</v>
      </c>
      <c r="S33" s="61">
        <f t="shared" si="19"/>
        <v>0</v>
      </c>
      <c r="T33" s="76">
        <f t="shared" si="20"/>
        <v>0</v>
      </c>
      <c r="U33" s="75">
        <f t="shared" si="21"/>
        <v>153.84615384615387</v>
      </c>
      <c r="V33" s="3">
        <v>21</v>
      </c>
      <c r="W33" s="80">
        <f t="shared" si="23"/>
        <v>900</v>
      </c>
      <c r="X33" s="80">
        <f t="shared" si="22"/>
        <v>1800</v>
      </c>
      <c r="Y33" s="80">
        <f t="shared" si="24"/>
        <v>800</v>
      </c>
      <c r="Z33" s="116">
        <v>500</v>
      </c>
      <c r="AA33" s="122">
        <v>500</v>
      </c>
      <c r="AB33" s="107">
        <v>100</v>
      </c>
      <c r="AC33" s="119">
        <v>200</v>
      </c>
      <c r="AD33" s="122">
        <v>600</v>
      </c>
      <c r="AE33" s="107">
        <v>200</v>
      </c>
      <c r="AF33" s="119">
        <v>200</v>
      </c>
      <c r="AG33" s="122">
        <v>700</v>
      </c>
      <c r="AH33" s="107">
        <v>300</v>
      </c>
      <c r="AI33" s="119">
        <f t="shared" si="6"/>
        <v>0</v>
      </c>
      <c r="AJ33" s="122">
        <f t="shared" si="7"/>
        <v>0</v>
      </c>
      <c r="AK33" s="109">
        <v>200</v>
      </c>
    </row>
    <row r="34" spans="1:37" x14ac:dyDescent="0.35">
      <c r="A34" s="41" t="s">
        <v>20</v>
      </c>
      <c r="B34" s="42" t="s">
        <v>63</v>
      </c>
      <c r="C34" s="43" t="s">
        <v>15</v>
      </c>
      <c r="D34" s="71">
        <v>720</v>
      </c>
      <c r="E34" s="62">
        <v>400</v>
      </c>
      <c r="F34" s="72">
        <v>1600</v>
      </c>
      <c r="G34" s="80">
        <f t="shared" si="25"/>
        <v>1224.9527410207938</v>
      </c>
      <c r="H34" s="125">
        <f t="shared" si="8"/>
        <v>869.56521739130426</v>
      </c>
      <c r="I34" s="163">
        <f t="shared" si="9"/>
        <v>2666.666666666667</v>
      </c>
      <c r="J34" s="61">
        <f t="shared" si="10"/>
        <v>576.44834871566763</v>
      </c>
      <c r="K34" s="66">
        <f t="shared" si="11"/>
        <v>267.55852842809361</v>
      </c>
      <c r="L34" s="63">
        <f t="shared" si="12"/>
        <v>410.25641025641028</v>
      </c>
      <c r="M34" s="61">
        <f t="shared" si="13"/>
        <v>288.22417435783382</v>
      </c>
      <c r="N34" s="76">
        <f t="shared" si="14"/>
        <v>267.55852842809361</v>
      </c>
      <c r="O34" s="75">
        <f t="shared" si="15"/>
        <v>820.51282051282055</v>
      </c>
      <c r="P34" s="61">
        <f t="shared" si="16"/>
        <v>360.28021794729233</v>
      </c>
      <c r="Q34" s="76">
        <f t="shared" si="17"/>
        <v>334.44816053511698</v>
      </c>
      <c r="R34" s="75">
        <f t="shared" si="18"/>
        <v>820.51282051282055</v>
      </c>
      <c r="S34" s="61">
        <f t="shared" si="19"/>
        <v>0</v>
      </c>
      <c r="T34" s="76">
        <f t="shared" si="20"/>
        <v>0</v>
      </c>
      <c r="U34" s="75">
        <f t="shared" si="21"/>
        <v>615.38461538461547</v>
      </c>
      <c r="V34" s="3">
        <v>22</v>
      </c>
      <c r="W34" s="80">
        <f>Z34+AC34+AF34+AI34</f>
        <v>1200</v>
      </c>
      <c r="X34" s="80">
        <f t="shared" si="22"/>
        <v>900</v>
      </c>
      <c r="Y34" s="80">
        <f t="shared" si="24"/>
        <v>3200</v>
      </c>
      <c r="Z34" s="115">
        <v>600</v>
      </c>
      <c r="AA34" s="121">
        <v>300</v>
      </c>
      <c r="AB34" s="100">
        <v>500</v>
      </c>
      <c r="AC34" s="118">
        <v>300</v>
      </c>
      <c r="AD34" s="121">
        <v>300</v>
      </c>
      <c r="AE34" s="100">
        <v>1000</v>
      </c>
      <c r="AF34" s="118">
        <v>300</v>
      </c>
      <c r="AG34" s="121">
        <v>300</v>
      </c>
      <c r="AH34" s="100">
        <v>1000</v>
      </c>
      <c r="AI34" s="118">
        <f t="shared" si="6"/>
        <v>0</v>
      </c>
      <c r="AJ34" s="121">
        <f t="shared" si="7"/>
        <v>0</v>
      </c>
      <c r="AK34" s="102">
        <v>700</v>
      </c>
    </row>
    <row r="35" spans="1:37" x14ac:dyDescent="0.35">
      <c r="A35" s="41" t="s">
        <v>20</v>
      </c>
      <c r="B35" s="42" t="s">
        <v>63</v>
      </c>
      <c r="C35" s="43" t="s">
        <v>64</v>
      </c>
      <c r="D35" s="61">
        <v>720</v>
      </c>
      <c r="E35" s="66">
        <v>400</v>
      </c>
      <c r="F35" s="63">
        <v>800</v>
      </c>
      <c r="G35" s="80">
        <f t="shared" si="25"/>
        <v>1224.9527410207938</v>
      </c>
      <c r="H35" s="125">
        <f t="shared" si="8"/>
        <v>869.56521739130426</v>
      </c>
      <c r="I35" s="163">
        <f t="shared" si="9"/>
        <v>1333.3333333333335</v>
      </c>
      <c r="J35" s="61">
        <f t="shared" si="10"/>
        <v>576.44834871566763</v>
      </c>
      <c r="K35" s="66">
        <f t="shared" si="11"/>
        <v>267.55852842809361</v>
      </c>
      <c r="L35" s="63">
        <f t="shared" si="12"/>
        <v>205.12820512820514</v>
      </c>
      <c r="M35" s="61">
        <f t="shared" si="13"/>
        <v>288.22417435783382</v>
      </c>
      <c r="N35" s="76">
        <f t="shared" si="14"/>
        <v>267.55852842809361</v>
      </c>
      <c r="O35" s="75">
        <f t="shared" si="15"/>
        <v>410.25641025641028</v>
      </c>
      <c r="P35" s="61">
        <f t="shared" si="16"/>
        <v>360.28021794729233</v>
      </c>
      <c r="Q35" s="76">
        <f t="shared" si="17"/>
        <v>334.44816053511698</v>
      </c>
      <c r="R35" s="75">
        <f t="shared" si="18"/>
        <v>410.25641025641028</v>
      </c>
      <c r="S35" s="61">
        <f t="shared" si="19"/>
        <v>0</v>
      </c>
      <c r="T35" s="76">
        <f t="shared" si="20"/>
        <v>0</v>
      </c>
      <c r="U35" s="75">
        <f t="shared" si="21"/>
        <v>307.69230769230774</v>
      </c>
      <c r="V35" s="24">
        <v>23</v>
      </c>
      <c r="W35" s="80">
        <f t="shared" si="23"/>
        <v>1200</v>
      </c>
      <c r="X35" s="80">
        <f t="shared" si="22"/>
        <v>900</v>
      </c>
      <c r="Y35" s="80">
        <f t="shared" si="24"/>
        <v>1600</v>
      </c>
      <c r="Z35" s="115">
        <v>600</v>
      </c>
      <c r="AA35" s="121">
        <v>300</v>
      </c>
      <c r="AB35" s="64">
        <v>300</v>
      </c>
      <c r="AC35" s="118">
        <v>300</v>
      </c>
      <c r="AD35" s="121">
        <v>300</v>
      </c>
      <c r="AE35" s="64">
        <v>500</v>
      </c>
      <c r="AF35" s="118">
        <v>300</v>
      </c>
      <c r="AG35" s="121">
        <v>300</v>
      </c>
      <c r="AH35" s="64">
        <v>500</v>
      </c>
      <c r="AI35" s="118">
        <f t="shared" si="6"/>
        <v>0</v>
      </c>
      <c r="AJ35" s="121">
        <f t="shared" si="7"/>
        <v>0</v>
      </c>
      <c r="AK35" s="104">
        <v>300</v>
      </c>
    </row>
    <row r="36" spans="1:37" ht="18.600000000000001" thickBot="1" x14ac:dyDescent="0.4">
      <c r="A36" s="41" t="s">
        <v>20</v>
      </c>
      <c r="B36" s="42" t="s">
        <v>63</v>
      </c>
      <c r="C36" s="43" t="s">
        <v>17</v>
      </c>
      <c r="D36" s="68">
        <v>720</v>
      </c>
      <c r="E36" s="69">
        <v>400</v>
      </c>
      <c r="F36" s="70">
        <v>400</v>
      </c>
      <c r="G36" s="80">
        <f t="shared" si="25"/>
        <v>1224.9527410207938</v>
      </c>
      <c r="H36" s="125">
        <f t="shared" si="8"/>
        <v>869.56521739130426</v>
      </c>
      <c r="I36" s="163">
        <f t="shared" si="9"/>
        <v>666.66666666666674</v>
      </c>
      <c r="J36" s="61">
        <f t="shared" si="10"/>
        <v>576.44834871566763</v>
      </c>
      <c r="K36" s="66">
        <f t="shared" si="11"/>
        <v>267.55852842809361</v>
      </c>
      <c r="L36" s="63">
        <f t="shared" si="12"/>
        <v>102.56410256410257</v>
      </c>
      <c r="M36" s="61">
        <f t="shared" si="13"/>
        <v>288.22417435783382</v>
      </c>
      <c r="N36" s="76">
        <f t="shared" si="14"/>
        <v>267.55852842809361</v>
      </c>
      <c r="O36" s="75">
        <f t="shared" si="15"/>
        <v>205.12820512820514</v>
      </c>
      <c r="P36" s="61">
        <f t="shared" si="16"/>
        <v>360.28021794729233</v>
      </c>
      <c r="Q36" s="76">
        <f t="shared" si="17"/>
        <v>334.44816053511698</v>
      </c>
      <c r="R36" s="75">
        <f t="shared" si="18"/>
        <v>205.12820512820514</v>
      </c>
      <c r="S36" s="61">
        <f t="shared" si="19"/>
        <v>0</v>
      </c>
      <c r="T36" s="76">
        <f t="shared" si="20"/>
        <v>0</v>
      </c>
      <c r="U36" s="75">
        <f t="shared" si="21"/>
        <v>153.84615384615387</v>
      </c>
      <c r="V36" s="3">
        <v>24</v>
      </c>
      <c r="W36" s="80">
        <f t="shared" si="23"/>
        <v>1200</v>
      </c>
      <c r="X36" s="80">
        <f t="shared" si="22"/>
        <v>900</v>
      </c>
      <c r="Y36" s="80">
        <f t="shared" si="24"/>
        <v>800</v>
      </c>
      <c r="Z36" s="115">
        <v>600</v>
      </c>
      <c r="AA36" s="121">
        <v>300</v>
      </c>
      <c r="AB36" s="107">
        <v>100</v>
      </c>
      <c r="AC36" s="118">
        <v>300</v>
      </c>
      <c r="AD36" s="121">
        <v>300</v>
      </c>
      <c r="AE36" s="107">
        <v>200</v>
      </c>
      <c r="AF36" s="118">
        <v>300</v>
      </c>
      <c r="AG36" s="121">
        <v>300</v>
      </c>
      <c r="AH36" s="107">
        <v>300</v>
      </c>
      <c r="AI36" s="118">
        <f t="shared" si="6"/>
        <v>0</v>
      </c>
      <c r="AJ36" s="121">
        <f t="shared" si="7"/>
        <v>0</v>
      </c>
      <c r="AK36" s="109">
        <v>200</v>
      </c>
    </row>
    <row r="37" spans="1:37" x14ac:dyDescent="0.35">
      <c r="A37" s="44" t="s">
        <v>20</v>
      </c>
      <c r="B37" s="45" t="s">
        <v>18</v>
      </c>
      <c r="C37" s="46" t="s">
        <v>15</v>
      </c>
      <c r="D37" s="71">
        <v>720</v>
      </c>
      <c r="E37" s="62">
        <v>200</v>
      </c>
      <c r="F37" s="72">
        <v>1600</v>
      </c>
      <c r="G37" s="80">
        <f t="shared" si="25"/>
        <v>1395.0850661625709</v>
      </c>
      <c r="H37" s="125">
        <f t="shared" si="8"/>
        <v>434.78260869565213</v>
      </c>
      <c r="I37" s="163">
        <f t="shared" si="9"/>
        <v>2666.666666666667</v>
      </c>
      <c r="J37" s="61">
        <f t="shared" si="10"/>
        <v>656.51061937062161</v>
      </c>
      <c r="K37" s="66">
        <f t="shared" si="11"/>
        <v>133.7792642140468</v>
      </c>
      <c r="L37" s="63">
        <f t="shared" si="12"/>
        <v>410.25641025641028</v>
      </c>
      <c r="M37" s="61">
        <f t="shared" si="13"/>
        <v>328.25530968531081</v>
      </c>
      <c r="N37" s="76">
        <f t="shared" si="14"/>
        <v>133.7792642140468</v>
      </c>
      <c r="O37" s="75">
        <f t="shared" si="15"/>
        <v>820.51282051282055</v>
      </c>
      <c r="P37" s="61">
        <f t="shared" si="16"/>
        <v>410.31913710663849</v>
      </c>
      <c r="Q37" s="76">
        <f t="shared" si="17"/>
        <v>167.22408026755849</v>
      </c>
      <c r="R37" s="75">
        <f t="shared" si="18"/>
        <v>820.51282051282055</v>
      </c>
      <c r="S37" s="61">
        <f t="shared" si="19"/>
        <v>0</v>
      </c>
      <c r="T37" s="76">
        <f t="shared" si="20"/>
        <v>0</v>
      </c>
      <c r="U37" s="75">
        <f t="shared" si="21"/>
        <v>615.38461538461547</v>
      </c>
      <c r="V37" s="3">
        <v>25</v>
      </c>
      <c r="W37" s="80">
        <f>Z37+AC37+AF37+AI37</f>
        <v>1500</v>
      </c>
      <c r="X37" s="80">
        <f t="shared" si="22"/>
        <v>400</v>
      </c>
      <c r="Y37" s="80">
        <f t="shared" si="24"/>
        <v>3200</v>
      </c>
      <c r="Z37" s="114">
        <v>700</v>
      </c>
      <c r="AA37" s="120">
        <v>100</v>
      </c>
      <c r="AB37" s="100">
        <v>500</v>
      </c>
      <c r="AC37" s="117">
        <v>400</v>
      </c>
      <c r="AD37" s="120">
        <v>100</v>
      </c>
      <c r="AE37" s="100">
        <v>1000</v>
      </c>
      <c r="AF37" s="117">
        <v>400</v>
      </c>
      <c r="AG37" s="120">
        <v>200</v>
      </c>
      <c r="AH37" s="100">
        <v>1000</v>
      </c>
      <c r="AI37" s="117">
        <f t="shared" si="6"/>
        <v>0</v>
      </c>
      <c r="AJ37" s="120">
        <f t="shared" si="7"/>
        <v>0</v>
      </c>
      <c r="AK37" s="102">
        <v>700</v>
      </c>
    </row>
    <row r="38" spans="1:37" x14ac:dyDescent="0.35">
      <c r="A38" s="44" t="s">
        <v>20</v>
      </c>
      <c r="B38" s="45" t="s">
        <v>18</v>
      </c>
      <c r="C38" s="46" t="s">
        <v>64</v>
      </c>
      <c r="D38" s="61">
        <v>720</v>
      </c>
      <c r="E38" s="66">
        <v>200</v>
      </c>
      <c r="F38" s="63">
        <v>800</v>
      </c>
      <c r="G38" s="80">
        <f t="shared" si="25"/>
        <v>1395.0850661625709</v>
      </c>
      <c r="H38" s="125">
        <f t="shared" si="8"/>
        <v>434.78260869565213</v>
      </c>
      <c r="I38" s="163">
        <f t="shared" si="9"/>
        <v>1333.3333333333335</v>
      </c>
      <c r="J38" s="61">
        <f t="shared" si="10"/>
        <v>656.51061937062161</v>
      </c>
      <c r="K38" s="66">
        <f t="shared" si="11"/>
        <v>133.7792642140468</v>
      </c>
      <c r="L38" s="63">
        <f t="shared" si="12"/>
        <v>205.12820512820514</v>
      </c>
      <c r="M38" s="61">
        <f t="shared" si="13"/>
        <v>328.25530968531081</v>
      </c>
      <c r="N38" s="76">
        <f t="shared" si="14"/>
        <v>133.7792642140468</v>
      </c>
      <c r="O38" s="75">
        <f t="shared" si="15"/>
        <v>410.25641025641028</v>
      </c>
      <c r="P38" s="61">
        <f t="shared" si="16"/>
        <v>410.31913710663849</v>
      </c>
      <c r="Q38" s="76">
        <f t="shared" si="17"/>
        <v>167.22408026755849</v>
      </c>
      <c r="R38" s="75">
        <f t="shared" si="18"/>
        <v>410.25641025641028</v>
      </c>
      <c r="S38" s="61">
        <f t="shared" si="19"/>
        <v>0</v>
      </c>
      <c r="T38" s="76">
        <f t="shared" si="20"/>
        <v>0</v>
      </c>
      <c r="U38" s="75">
        <f t="shared" si="21"/>
        <v>307.69230769230774</v>
      </c>
      <c r="V38" s="3">
        <v>26</v>
      </c>
      <c r="W38" s="80">
        <f t="shared" si="23"/>
        <v>1500</v>
      </c>
      <c r="X38" s="80">
        <f t="shared" si="22"/>
        <v>400</v>
      </c>
      <c r="Y38" s="80">
        <f t="shared" si="24"/>
        <v>1600</v>
      </c>
      <c r="Z38" s="115">
        <v>700</v>
      </c>
      <c r="AA38" s="121">
        <v>100</v>
      </c>
      <c r="AB38" s="64">
        <v>300</v>
      </c>
      <c r="AC38" s="118">
        <v>400</v>
      </c>
      <c r="AD38" s="121">
        <v>100</v>
      </c>
      <c r="AE38" s="64">
        <v>500</v>
      </c>
      <c r="AF38" s="118">
        <v>400</v>
      </c>
      <c r="AG38" s="121">
        <v>200</v>
      </c>
      <c r="AH38" s="64">
        <v>500</v>
      </c>
      <c r="AI38" s="118">
        <f t="shared" si="6"/>
        <v>0</v>
      </c>
      <c r="AJ38" s="121">
        <f t="shared" si="7"/>
        <v>0</v>
      </c>
      <c r="AK38" s="104">
        <v>300</v>
      </c>
    </row>
    <row r="39" spans="1:37" ht="18.600000000000001" thickBot="1" x14ac:dyDescent="0.4">
      <c r="A39" s="47" t="s">
        <v>20</v>
      </c>
      <c r="B39" s="48" t="s">
        <v>18</v>
      </c>
      <c r="C39" s="49" t="s">
        <v>17</v>
      </c>
      <c r="D39" s="68">
        <v>720</v>
      </c>
      <c r="E39" s="69">
        <v>200</v>
      </c>
      <c r="F39" s="70">
        <v>400</v>
      </c>
      <c r="G39" s="126">
        <f t="shared" si="25"/>
        <v>1395.0850661625709</v>
      </c>
      <c r="H39" s="127">
        <f t="shared" si="8"/>
        <v>434.78260869565213</v>
      </c>
      <c r="I39" s="163">
        <f t="shared" si="9"/>
        <v>666.66666666666674</v>
      </c>
      <c r="J39" s="68">
        <f t="shared" si="10"/>
        <v>656.51061937062161</v>
      </c>
      <c r="K39" s="69">
        <f t="shared" si="11"/>
        <v>133.7792642140468</v>
      </c>
      <c r="L39" s="70">
        <f t="shared" si="12"/>
        <v>102.56410256410257</v>
      </c>
      <c r="M39" s="68">
        <f t="shared" si="13"/>
        <v>328.25530968531081</v>
      </c>
      <c r="N39" s="78">
        <f t="shared" si="14"/>
        <v>133.7792642140468</v>
      </c>
      <c r="O39" s="79">
        <f t="shared" si="15"/>
        <v>205.12820512820514</v>
      </c>
      <c r="P39" s="68">
        <f t="shared" si="16"/>
        <v>410.31913710663849</v>
      </c>
      <c r="Q39" s="78">
        <f t="shared" si="17"/>
        <v>167.22408026755849</v>
      </c>
      <c r="R39" s="79">
        <f t="shared" si="18"/>
        <v>205.12820512820514</v>
      </c>
      <c r="S39" s="68">
        <f t="shared" si="19"/>
        <v>0</v>
      </c>
      <c r="T39" s="78">
        <f t="shared" si="20"/>
        <v>0</v>
      </c>
      <c r="U39" s="79">
        <f t="shared" si="21"/>
        <v>153.84615384615387</v>
      </c>
      <c r="V39" s="24">
        <v>27</v>
      </c>
      <c r="W39" s="80">
        <f t="shared" si="23"/>
        <v>1500</v>
      </c>
      <c r="X39" s="80">
        <f t="shared" si="22"/>
        <v>400</v>
      </c>
      <c r="Y39" s="80">
        <f t="shared" si="24"/>
        <v>800</v>
      </c>
      <c r="Z39" s="116">
        <v>700</v>
      </c>
      <c r="AA39" s="122">
        <v>100</v>
      </c>
      <c r="AB39" s="107">
        <v>100</v>
      </c>
      <c r="AC39" s="119">
        <v>400</v>
      </c>
      <c r="AD39" s="122">
        <v>100</v>
      </c>
      <c r="AE39" s="107">
        <v>200</v>
      </c>
      <c r="AF39" s="119">
        <v>400</v>
      </c>
      <c r="AG39" s="122">
        <v>200</v>
      </c>
      <c r="AH39" s="107">
        <v>300</v>
      </c>
      <c r="AI39" s="119">
        <f t="shared" si="6"/>
        <v>0</v>
      </c>
      <c r="AJ39" s="122">
        <f t="shared" si="7"/>
        <v>0</v>
      </c>
      <c r="AK39" s="109">
        <v>200</v>
      </c>
    </row>
    <row r="40" spans="1:37" x14ac:dyDescent="0.35">
      <c r="L40" s="51"/>
    </row>
  </sheetData>
  <mergeCells count="21">
    <mergeCell ref="D4:F4"/>
    <mergeCell ref="G4:I4"/>
    <mergeCell ref="D1:I1"/>
    <mergeCell ref="J1:L1"/>
    <mergeCell ref="M1:O1"/>
    <mergeCell ref="G3:I3"/>
    <mergeCell ref="J3:L3"/>
    <mergeCell ref="M3:O3"/>
    <mergeCell ref="D2:I2"/>
    <mergeCell ref="J2:L2"/>
    <mergeCell ref="M2:O2"/>
    <mergeCell ref="AI11:AK11"/>
    <mergeCell ref="P3:R3"/>
    <mergeCell ref="S3:U3"/>
    <mergeCell ref="P2:R2"/>
    <mergeCell ref="S2:U2"/>
    <mergeCell ref="P1:R1"/>
    <mergeCell ref="S1:U1"/>
    <mergeCell ref="Z11:AB11"/>
    <mergeCell ref="AC11:AE11"/>
    <mergeCell ref="AF11:AH11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69F60-5918-4AEE-950B-B165020733F1}">
  <sheetPr>
    <tabColor rgb="FFCCFFCC"/>
  </sheetPr>
  <dimension ref="A1:AK40"/>
  <sheetViews>
    <sheetView zoomScale="70" zoomScaleNormal="70" workbookViewId="0">
      <selection activeCell="I13" sqref="I13"/>
    </sheetView>
  </sheetViews>
  <sheetFormatPr defaultRowHeight="18" x14ac:dyDescent="0.35"/>
  <cols>
    <col min="1" max="1" width="6.109375" style="3" customWidth="1"/>
    <col min="2" max="2" width="7.5546875" style="3" customWidth="1"/>
    <col min="3" max="3" width="5.88671875" style="3" customWidth="1"/>
    <col min="4" max="4" width="6.77734375" style="3" customWidth="1"/>
    <col min="5" max="5" width="6.5546875" style="3" customWidth="1"/>
    <col min="6" max="6" width="7.21875" style="3" customWidth="1"/>
    <col min="7" max="7" width="6" style="3" bestFit="1" customWidth="1"/>
    <col min="8" max="8" width="7" style="3" bestFit="1" customWidth="1"/>
    <col min="9" max="10" width="6" style="3" bestFit="1" customWidth="1"/>
    <col min="11" max="11" width="7" style="3" bestFit="1" customWidth="1"/>
    <col min="12" max="13" width="6" style="3" bestFit="1" customWidth="1"/>
    <col min="14" max="14" width="7" style="3" bestFit="1" customWidth="1"/>
    <col min="15" max="16" width="6" style="3" bestFit="1" customWidth="1"/>
    <col min="17" max="17" width="7" style="3" bestFit="1" customWidth="1"/>
    <col min="18" max="19" width="6" style="3" bestFit="1" customWidth="1"/>
    <col min="20" max="20" width="7" style="3" bestFit="1" customWidth="1"/>
    <col min="21" max="21" width="6" style="3" bestFit="1" customWidth="1"/>
    <col min="22" max="16384" width="8.88671875" style="3"/>
  </cols>
  <sheetData>
    <row r="1" spans="1:37" ht="15" customHeight="1" x14ac:dyDescent="0.35">
      <c r="A1" s="1" t="s">
        <v>0</v>
      </c>
      <c r="B1" s="1" t="s">
        <v>2</v>
      </c>
      <c r="C1" s="2" t="s">
        <v>4</v>
      </c>
      <c r="D1" s="153" t="s">
        <v>5</v>
      </c>
      <c r="E1" s="153"/>
      <c r="F1" s="153"/>
      <c r="G1" s="153"/>
      <c r="H1" s="153"/>
      <c r="I1" s="154"/>
      <c r="J1" s="152" t="s">
        <v>21</v>
      </c>
      <c r="K1" s="153"/>
      <c r="L1" s="154"/>
      <c r="M1" s="152" t="s">
        <v>24</v>
      </c>
      <c r="N1" s="153"/>
      <c r="O1" s="154"/>
      <c r="P1" s="152" t="s">
        <v>26</v>
      </c>
      <c r="Q1" s="153"/>
      <c r="R1" s="154"/>
      <c r="S1" s="152" t="s">
        <v>28</v>
      </c>
      <c r="T1" s="153"/>
      <c r="U1" s="154"/>
    </row>
    <row r="2" spans="1:37" ht="18.600000000000001" thickBot="1" x14ac:dyDescent="0.4">
      <c r="A2" s="4" t="s">
        <v>1</v>
      </c>
      <c r="B2" s="4" t="s">
        <v>3</v>
      </c>
      <c r="C2" s="5" t="s">
        <v>3</v>
      </c>
      <c r="D2" s="159" t="s">
        <v>6</v>
      </c>
      <c r="E2" s="159"/>
      <c r="F2" s="159"/>
      <c r="G2" s="159"/>
      <c r="H2" s="159"/>
      <c r="I2" s="160"/>
      <c r="J2" s="158" t="s">
        <v>22</v>
      </c>
      <c r="K2" s="159"/>
      <c r="L2" s="160"/>
      <c r="M2" s="158" t="s">
        <v>25</v>
      </c>
      <c r="N2" s="159"/>
      <c r="O2" s="160"/>
      <c r="P2" s="158" t="s">
        <v>27</v>
      </c>
      <c r="Q2" s="159"/>
      <c r="R2" s="160"/>
      <c r="S2" s="158" t="s">
        <v>29</v>
      </c>
      <c r="T2" s="159"/>
      <c r="U2" s="160"/>
    </row>
    <row r="3" spans="1:37" ht="18.600000000000001" thickBot="1" x14ac:dyDescent="0.4">
      <c r="A3" s="6"/>
      <c r="B3" s="6"/>
      <c r="C3" s="7"/>
      <c r="D3" s="8" t="s">
        <v>30</v>
      </c>
      <c r="E3" s="9"/>
      <c r="F3" s="10"/>
      <c r="G3" s="155" t="s">
        <v>32</v>
      </c>
      <c r="H3" s="156"/>
      <c r="I3" s="157"/>
      <c r="J3" s="158" t="s">
        <v>23</v>
      </c>
      <c r="K3" s="159"/>
      <c r="L3" s="160"/>
      <c r="M3" s="158" t="s">
        <v>23</v>
      </c>
      <c r="N3" s="159"/>
      <c r="O3" s="160"/>
      <c r="P3" s="158" t="s">
        <v>23</v>
      </c>
      <c r="Q3" s="159"/>
      <c r="R3" s="160"/>
      <c r="S3" s="158" t="s">
        <v>23</v>
      </c>
      <c r="T3" s="159"/>
      <c r="U3" s="160"/>
    </row>
    <row r="4" spans="1:37" ht="18.600000000000001" thickBot="1" x14ac:dyDescent="0.4">
      <c r="A4" s="6"/>
      <c r="B4" s="6"/>
      <c r="C4" s="7"/>
      <c r="D4" s="155" t="s">
        <v>31</v>
      </c>
      <c r="E4" s="156"/>
      <c r="F4" s="157"/>
      <c r="G4" s="155" t="s">
        <v>31</v>
      </c>
      <c r="H4" s="156"/>
      <c r="I4" s="157"/>
      <c r="J4" s="4"/>
      <c r="K4" s="11"/>
      <c r="L4" s="12"/>
      <c r="M4" s="4"/>
      <c r="N4" s="11"/>
      <c r="O4" s="12"/>
      <c r="P4" s="4"/>
      <c r="Q4" s="11"/>
      <c r="R4" s="12"/>
      <c r="S4" s="4"/>
      <c r="T4" s="11"/>
      <c r="U4" s="12"/>
    </row>
    <row r="5" spans="1:37" ht="18.600000000000001" thickBot="1" x14ac:dyDescent="0.4">
      <c r="A5" s="13"/>
      <c r="B5" s="13"/>
      <c r="C5" s="14"/>
      <c r="D5" s="15" t="s">
        <v>7</v>
      </c>
      <c r="E5" s="15" t="s">
        <v>8</v>
      </c>
      <c r="F5" s="15" t="s">
        <v>9</v>
      </c>
      <c r="G5" s="16" t="s">
        <v>10</v>
      </c>
      <c r="H5" s="15" t="s">
        <v>11</v>
      </c>
      <c r="I5" s="162" t="s">
        <v>47</v>
      </c>
      <c r="J5" s="18" t="s">
        <v>10</v>
      </c>
      <c r="K5" s="15" t="s">
        <v>11</v>
      </c>
      <c r="L5" s="162" t="s">
        <v>47</v>
      </c>
      <c r="M5" s="18" t="s">
        <v>10</v>
      </c>
      <c r="N5" s="15" t="s">
        <v>11</v>
      </c>
      <c r="O5" s="162" t="s">
        <v>47</v>
      </c>
      <c r="P5" s="18" t="s">
        <v>10</v>
      </c>
      <c r="Q5" s="15" t="s">
        <v>11</v>
      </c>
      <c r="R5" s="162" t="s">
        <v>47</v>
      </c>
      <c r="S5" s="18" t="s">
        <v>10</v>
      </c>
      <c r="T5" s="15" t="s">
        <v>11</v>
      </c>
      <c r="U5" s="162" t="s">
        <v>47</v>
      </c>
    </row>
    <row r="6" spans="1:37" ht="18.600000000000001" thickBot="1" x14ac:dyDescent="0.4">
      <c r="A6" s="13"/>
      <c r="B6" s="13" t="s">
        <v>33</v>
      </c>
      <c r="C6" s="50"/>
      <c r="D6" s="52">
        <v>100</v>
      </c>
      <c r="E6" s="52">
        <v>50</v>
      </c>
      <c r="F6" s="52">
        <v>50</v>
      </c>
      <c r="G6" s="53"/>
      <c r="H6" s="60">
        <f>0.15*400</f>
        <v>60</v>
      </c>
      <c r="I6" s="17"/>
      <c r="J6" s="18">
        <v>300</v>
      </c>
      <c r="K6" s="52">
        <v>200</v>
      </c>
      <c r="L6" s="19">
        <v>300</v>
      </c>
      <c r="M6" s="18">
        <v>200</v>
      </c>
      <c r="N6" s="52">
        <v>200</v>
      </c>
      <c r="O6" s="19">
        <v>350</v>
      </c>
      <c r="P6" s="18">
        <v>200</v>
      </c>
      <c r="Q6" s="52">
        <v>150</v>
      </c>
      <c r="R6" s="19">
        <v>300</v>
      </c>
      <c r="S6" s="18">
        <v>0</v>
      </c>
      <c r="T6" s="52">
        <v>0</v>
      </c>
      <c r="U6" s="19">
        <v>250</v>
      </c>
    </row>
    <row r="7" spans="1:37" ht="18.600000000000001" thickBot="1" x14ac:dyDescent="0.4">
      <c r="A7" s="13"/>
      <c r="B7" s="13"/>
      <c r="C7" s="50"/>
      <c r="D7" s="55"/>
      <c r="E7" s="55"/>
      <c r="F7" s="55"/>
      <c r="G7" s="54"/>
      <c r="H7" s="55"/>
      <c r="I7" s="56"/>
      <c r="J7" s="82">
        <f>J6/200</f>
        <v>1.5</v>
      </c>
      <c r="K7" s="83">
        <f t="shared" ref="K7:U7" si="0">K6/200</f>
        <v>1</v>
      </c>
      <c r="L7" s="84">
        <f t="shared" si="0"/>
        <v>1.5</v>
      </c>
      <c r="M7" s="82">
        <f t="shared" si="0"/>
        <v>1</v>
      </c>
      <c r="N7" s="83">
        <f t="shared" si="0"/>
        <v>1</v>
      </c>
      <c r="O7" s="84">
        <f t="shared" si="0"/>
        <v>1.75</v>
      </c>
      <c r="P7" s="82">
        <f t="shared" si="0"/>
        <v>1</v>
      </c>
      <c r="Q7" s="83">
        <f t="shared" si="0"/>
        <v>0.75</v>
      </c>
      <c r="R7" s="84">
        <f t="shared" si="0"/>
        <v>1.5</v>
      </c>
      <c r="S7" s="82">
        <f t="shared" si="0"/>
        <v>0</v>
      </c>
      <c r="T7" s="83">
        <f t="shared" si="0"/>
        <v>0</v>
      </c>
      <c r="U7" s="84">
        <f t="shared" si="0"/>
        <v>1.25</v>
      </c>
    </row>
    <row r="8" spans="1:37" ht="18.600000000000001" thickBot="1" x14ac:dyDescent="0.4">
      <c r="A8" s="13"/>
      <c r="B8" s="13"/>
      <c r="C8" s="50"/>
      <c r="D8" s="55">
        <f>SUM(J8,M8,P8,S8)</f>
        <v>4</v>
      </c>
      <c r="E8" s="52">
        <f t="shared" ref="E8:F8" si="1">SUM(K8,N8,Q8,T8)</f>
        <v>3</v>
      </c>
      <c r="F8" s="52">
        <f t="shared" si="1"/>
        <v>7</v>
      </c>
      <c r="G8" s="54"/>
      <c r="H8" s="55"/>
      <c r="I8" s="56"/>
      <c r="J8" s="57">
        <v>2</v>
      </c>
      <c r="K8" s="55">
        <v>1</v>
      </c>
      <c r="L8" s="58">
        <v>2</v>
      </c>
      <c r="M8" s="57">
        <v>1</v>
      </c>
      <c r="N8" s="55">
        <v>1</v>
      </c>
      <c r="O8" s="58">
        <v>2</v>
      </c>
      <c r="P8" s="57">
        <v>1</v>
      </c>
      <c r="Q8" s="55">
        <v>1</v>
      </c>
      <c r="R8" s="58">
        <v>2</v>
      </c>
      <c r="S8" s="57">
        <v>0</v>
      </c>
      <c r="T8" s="55">
        <v>0</v>
      </c>
      <c r="U8" s="58">
        <v>1</v>
      </c>
    </row>
    <row r="9" spans="1:37" ht="18.600000000000001" thickBot="1" x14ac:dyDescent="0.4">
      <c r="A9" s="13"/>
      <c r="B9" s="13" t="s">
        <v>34</v>
      </c>
      <c r="C9" s="50"/>
      <c r="D9" s="52">
        <v>150</v>
      </c>
      <c r="E9" s="52">
        <v>100</v>
      </c>
      <c r="F9" s="52">
        <v>100</v>
      </c>
      <c r="G9" s="59">
        <f>0.2*500</f>
        <v>100</v>
      </c>
      <c r="H9" s="60">
        <f>0.1*500</f>
        <v>50</v>
      </c>
      <c r="I9" s="17"/>
      <c r="J9" s="18">
        <v>400</v>
      </c>
      <c r="K9" s="52">
        <v>200</v>
      </c>
      <c r="L9" s="19">
        <v>400</v>
      </c>
      <c r="M9" s="18">
        <v>200</v>
      </c>
      <c r="N9" s="52">
        <v>350</v>
      </c>
      <c r="O9" s="19">
        <v>350</v>
      </c>
      <c r="P9" s="18">
        <v>300</v>
      </c>
      <c r="Q9" s="52">
        <v>200</v>
      </c>
      <c r="R9" s="19">
        <v>400</v>
      </c>
      <c r="S9" s="18">
        <v>0</v>
      </c>
      <c r="T9" s="52">
        <v>0</v>
      </c>
      <c r="U9" s="19">
        <v>400</v>
      </c>
    </row>
    <row r="10" spans="1:37" ht="18.600000000000001" thickBot="1" x14ac:dyDescent="0.4">
      <c r="A10" s="13"/>
      <c r="B10" s="13"/>
      <c r="C10" s="50"/>
      <c r="D10" s="55"/>
      <c r="E10" s="55"/>
      <c r="F10" s="55"/>
      <c r="G10" s="86">
        <f>AVERAGE(D8,D11)</f>
        <v>4.5</v>
      </c>
      <c r="H10" s="86">
        <f>AVERAGE(E8,E11)</f>
        <v>3.5</v>
      </c>
      <c r="I10" s="87">
        <f>AVERAGE(F8,F11)</f>
        <v>7.5</v>
      </c>
      <c r="J10" s="82">
        <f t="shared" ref="J10:U10" si="2">J9/200</f>
        <v>2</v>
      </c>
      <c r="K10" s="83">
        <f t="shared" si="2"/>
        <v>1</v>
      </c>
      <c r="L10" s="84">
        <f t="shared" si="2"/>
        <v>2</v>
      </c>
      <c r="M10" s="82">
        <f t="shared" si="2"/>
        <v>1</v>
      </c>
      <c r="N10" s="83">
        <f t="shared" si="2"/>
        <v>1.75</v>
      </c>
      <c r="O10" s="84">
        <f t="shared" si="2"/>
        <v>1.75</v>
      </c>
      <c r="P10" s="82">
        <f>P9/200</f>
        <v>1.5</v>
      </c>
      <c r="Q10" s="83">
        <f t="shared" si="2"/>
        <v>1</v>
      </c>
      <c r="R10" s="84">
        <f t="shared" si="2"/>
        <v>2</v>
      </c>
      <c r="S10" s="82">
        <f t="shared" si="2"/>
        <v>0</v>
      </c>
      <c r="T10" s="83">
        <f t="shared" si="2"/>
        <v>0</v>
      </c>
      <c r="U10" s="84">
        <f t="shared" si="2"/>
        <v>2</v>
      </c>
    </row>
    <row r="11" spans="1:37" ht="18.600000000000001" thickBot="1" x14ac:dyDescent="0.4">
      <c r="A11" s="13"/>
      <c r="B11" s="13"/>
      <c r="C11" s="50"/>
      <c r="D11" s="55">
        <f>SUM(J11,M11,P11,S11)</f>
        <v>5</v>
      </c>
      <c r="E11" s="52">
        <f t="shared" ref="E11:F11" si="3">SUM(K11,N11,Q11,T11)</f>
        <v>4</v>
      </c>
      <c r="F11" s="52">
        <f t="shared" si="3"/>
        <v>8</v>
      </c>
      <c r="G11" s="54">
        <f>AVERAGE(D8,D11)</f>
        <v>4.5</v>
      </c>
      <c r="H11" s="55">
        <f>AVERAGE(E8,E11)</f>
        <v>3.5</v>
      </c>
      <c r="I11" s="56">
        <f>AVERAGE(F8,F11)</f>
        <v>7.5</v>
      </c>
      <c r="J11" s="57">
        <v>2</v>
      </c>
      <c r="K11" s="55">
        <v>1</v>
      </c>
      <c r="L11" s="58">
        <v>2</v>
      </c>
      <c r="M11" s="57">
        <v>1</v>
      </c>
      <c r="N11" s="55">
        <v>2</v>
      </c>
      <c r="O11" s="58">
        <v>2</v>
      </c>
      <c r="P11" s="57">
        <v>2</v>
      </c>
      <c r="Q11" s="55">
        <v>1</v>
      </c>
      <c r="R11" s="58">
        <v>2</v>
      </c>
      <c r="S11" s="57">
        <v>0</v>
      </c>
      <c r="T11" s="55">
        <v>0</v>
      </c>
      <c r="U11" s="58">
        <v>2</v>
      </c>
      <c r="W11" s="24" t="s">
        <v>61</v>
      </c>
      <c r="X11" s="24"/>
      <c r="Y11" s="24"/>
      <c r="Z11" s="152" t="s">
        <v>36</v>
      </c>
      <c r="AA11" s="153"/>
      <c r="AB11" s="154"/>
      <c r="AC11" s="152" t="s">
        <v>37</v>
      </c>
      <c r="AD11" s="153"/>
      <c r="AE11" s="154"/>
      <c r="AF11" s="152" t="s">
        <v>39</v>
      </c>
      <c r="AG11" s="153"/>
      <c r="AH11" s="154"/>
      <c r="AI11" s="152" t="s">
        <v>38</v>
      </c>
      <c r="AJ11" s="153"/>
      <c r="AK11" s="154"/>
    </row>
    <row r="12" spans="1:37" ht="18.600000000000001" thickBot="1" x14ac:dyDescent="0.4">
      <c r="A12" s="20"/>
      <c r="B12" s="88" t="s">
        <v>35</v>
      </c>
      <c r="C12" s="81"/>
      <c r="D12" s="81"/>
      <c r="E12" s="81"/>
      <c r="F12" s="81"/>
      <c r="G12" s="86">
        <f>SUM(J12,M12,P12,S12)</f>
        <v>4</v>
      </c>
      <c r="H12" s="86">
        <f>SUM(K12,N12,Q12,T12)</f>
        <v>3.25</v>
      </c>
      <c r="I12" s="85">
        <f>SUM(L12,O12,R12,U12)</f>
        <v>6.125</v>
      </c>
      <c r="J12" s="97">
        <f>AVERAGE(J7,J10)</f>
        <v>1.75</v>
      </c>
      <c r="K12" s="89">
        <f t="shared" ref="K12:U12" si="4">AVERAGE(K7,K10)</f>
        <v>1</v>
      </c>
      <c r="L12" s="112">
        <v>1</v>
      </c>
      <c r="M12" s="91">
        <f t="shared" si="4"/>
        <v>1</v>
      </c>
      <c r="N12" s="113">
        <f>AVERAGE(N7,N10)</f>
        <v>1.375</v>
      </c>
      <c r="O12" s="92">
        <f t="shared" si="4"/>
        <v>1.75</v>
      </c>
      <c r="P12" s="129">
        <f t="shared" si="4"/>
        <v>1.25</v>
      </c>
      <c r="Q12" s="86">
        <f t="shared" si="4"/>
        <v>0.875</v>
      </c>
      <c r="R12" s="87">
        <f t="shared" si="4"/>
        <v>1.75</v>
      </c>
      <c r="S12" s="94">
        <f t="shared" si="4"/>
        <v>0</v>
      </c>
      <c r="T12" s="95">
        <f t="shared" si="4"/>
        <v>0</v>
      </c>
      <c r="U12" s="130">
        <f t="shared" si="4"/>
        <v>1.625</v>
      </c>
      <c r="Z12" s="110" t="s">
        <v>10</v>
      </c>
      <c r="AA12" s="110" t="s">
        <v>11</v>
      </c>
      <c r="AB12" s="162" t="s">
        <v>47</v>
      </c>
      <c r="AC12" s="110" t="s">
        <v>10</v>
      </c>
      <c r="AD12" s="110" t="s">
        <v>11</v>
      </c>
      <c r="AE12" s="162" t="s">
        <v>47</v>
      </c>
      <c r="AF12" s="110" t="s">
        <v>10</v>
      </c>
      <c r="AG12" s="110" t="s">
        <v>11</v>
      </c>
      <c r="AH12" s="162" t="s">
        <v>47</v>
      </c>
      <c r="AI12" s="110" t="s">
        <v>10</v>
      </c>
      <c r="AJ12" s="110" t="s">
        <v>11</v>
      </c>
      <c r="AK12" s="162" t="s">
        <v>47</v>
      </c>
    </row>
    <row r="13" spans="1:37" x14ac:dyDescent="0.35">
      <c r="A13" s="21" t="s">
        <v>13</v>
      </c>
      <c r="B13" s="22" t="s">
        <v>14</v>
      </c>
      <c r="C13" s="21" t="s">
        <v>15</v>
      </c>
      <c r="D13" s="61">
        <v>1400</v>
      </c>
      <c r="E13" s="62">
        <v>700</v>
      </c>
      <c r="F13" s="63">
        <v>1680</v>
      </c>
      <c r="G13" s="80">
        <f>(D13-(H13*(18/100)))*(100/46)</f>
        <v>2448.0151228733462</v>
      </c>
      <c r="H13" s="123">
        <f>E13*(100/46)</f>
        <v>1521.7391304347825</v>
      </c>
      <c r="I13" s="163">
        <f>F13*(100/60)</f>
        <v>2800</v>
      </c>
      <c r="J13" s="61">
        <f>(G13*$J$12)/$G$12</f>
        <v>1071.006616257089</v>
      </c>
      <c r="K13" s="62">
        <f>(H13*$K$12)/$H$12</f>
        <v>468.22742474916384</v>
      </c>
      <c r="L13" s="63">
        <f>(I13*$L$12)/$I$12</f>
        <v>457.14285714285717</v>
      </c>
      <c r="M13" s="61">
        <f>(G13*$M$12)/$G$12</f>
        <v>612.00378071833654</v>
      </c>
      <c r="N13" s="74">
        <f>(H13*$N$12)/$H$12</f>
        <v>643.81270903010034</v>
      </c>
      <c r="O13" s="75">
        <f>(I13*$O$12)/$I$12</f>
        <v>800</v>
      </c>
      <c r="P13" s="61">
        <f>(G13*$P$12)/$G$12</f>
        <v>765.00472589792071</v>
      </c>
      <c r="Q13" s="74">
        <f>(H13*$Q$12)/$H$12</f>
        <v>409.69899665551839</v>
      </c>
      <c r="R13" s="75">
        <f>(I13*$R$12)/$I$12</f>
        <v>800</v>
      </c>
      <c r="S13" s="61">
        <f>(G13*$S$12)/$G$12</f>
        <v>0</v>
      </c>
      <c r="T13" s="74">
        <f>(H13*$T$12)/$H$12</f>
        <v>0</v>
      </c>
      <c r="U13" s="75">
        <f>(I13*$U$12)/$I$12</f>
        <v>742.85714285714289</v>
      </c>
      <c r="W13" s="80">
        <f t="shared" ref="W13:Y16" si="5">Z13+AC13+AF13+AI13</f>
        <v>2400</v>
      </c>
      <c r="X13" s="80">
        <f t="shared" si="5"/>
        <v>1500</v>
      </c>
      <c r="Y13" s="80">
        <f t="shared" si="5"/>
        <v>3400</v>
      </c>
      <c r="Z13" s="98">
        <v>1100</v>
      </c>
      <c r="AA13" s="99">
        <v>500</v>
      </c>
      <c r="AB13" s="100">
        <v>500</v>
      </c>
      <c r="AC13" s="101">
        <v>600</v>
      </c>
      <c r="AD13" s="99">
        <v>600</v>
      </c>
      <c r="AE13" s="100">
        <v>1000</v>
      </c>
      <c r="AF13" s="143">
        <v>700</v>
      </c>
      <c r="AG13" s="99">
        <v>400</v>
      </c>
      <c r="AH13" s="100">
        <v>1000</v>
      </c>
      <c r="AI13" s="101">
        <v>0</v>
      </c>
      <c r="AJ13" s="99">
        <v>0</v>
      </c>
      <c r="AK13" s="102">
        <v>900</v>
      </c>
    </row>
    <row r="14" spans="1:37" x14ac:dyDescent="0.35">
      <c r="A14" s="23" t="s">
        <v>13</v>
      </c>
      <c r="B14" s="22" t="s">
        <v>14</v>
      </c>
      <c r="C14" s="23" t="s">
        <v>64</v>
      </c>
      <c r="D14" s="61">
        <v>1400</v>
      </c>
      <c r="E14" s="66">
        <v>700</v>
      </c>
      <c r="F14" s="63">
        <v>840</v>
      </c>
      <c r="G14" s="80">
        <f>(D14-(H14*(18/100)))*(100/46)</f>
        <v>2448.0151228733462</v>
      </c>
      <c r="H14" s="125">
        <f t="shared" ref="H14:H39" si="6">E14*(100/46)</f>
        <v>1521.7391304347825</v>
      </c>
      <c r="I14" s="163">
        <f t="shared" ref="I14:I39" si="7">F14*(100/60)</f>
        <v>1400</v>
      </c>
      <c r="J14" s="61">
        <f t="shared" ref="J14:J39" si="8">(G14*$J$12)/$G$12</f>
        <v>1071.006616257089</v>
      </c>
      <c r="K14" s="66">
        <f t="shared" ref="K14:K39" si="9">(H14*$K$12)/$H$12</f>
        <v>468.22742474916384</v>
      </c>
      <c r="L14" s="63">
        <f t="shared" ref="L14:L39" si="10">(I14*$L$12)/$I$12</f>
        <v>228.57142857142858</v>
      </c>
      <c r="M14" s="61">
        <f t="shared" ref="M14:M39" si="11">(G14*$M$12)/$G$12</f>
        <v>612.00378071833654</v>
      </c>
      <c r="N14" s="76">
        <f t="shared" ref="N14:N39" si="12">(H14*$N$12)/$H$12</f>
        <v>643.81270903010034</v>
      </c>
      <c r="O14" s="75">
        <f t="shared" ref="O14:O39" si="13">(I14*$O$12)/$I$12</f>
        <v>400</v>
      </c>
      <c r="P14" s="61">
        <f t="shared" ref="P14:P39" si="14">(G14*$P$12)/$G$12</f>
        <v>765.00472589792071</v>
      </c>
      <c r="Q14" s="76">
        <f t="shared" ref="Q14:Q39" si="15">(H14*$Q$12)/$H$12</f>
        <v>409.69899665551839</v>
      </c>
      <c r="R14" s="75">
        <f t="shared" ref="R14:R39" si="16">(I14*$R$12)/$I$12</f>
        <v>400</v>
      </c>
      <c r="S14" s="61">
        <f t="shared" ref="S14:S39" si="17">(G14*$S$12)/$G$12</f>
        <v>0</v>
      </c>
      <c r="T14" s="76">
        <f t="shared" ref="T14:T39" si="18">(H14*$T$12)/$H$12</f>
        <v>0</v>
      </c>
      <c r="U14" s="75">
        <f t="shared" ref="U14:U39" si="19">(I14*$U$12)/$I$12</f>
        <v>371.42857142857144</v>
      </c>
      <c r="W14" s="80">
        <f t="shared" si="5"/>
        <v>2400</v>
      </c>
      <c r="X14" s="80">
        <f t="shared" si="5"/>
        <v>1500</v>
      </c>
      <c r="Y14" s="80">
        <f t="shared" si="5"/>
        <v>1700</v>
      </c>
      <c r="Z14" s="103">
        <v>1100</v>
      </c>
      <c r="AA14" s="67">
        <v>500</v>
      </c>
      <c r="AB14" s="64">
        <v>300</v>
      </c>
      <c r="AC14" s="65">
        <v>600</v>
      </c>
      <c r="AD14" s="67">
        <v>600</v>
      </c>
      <c r="AE14" s="64">
        <v>500</v>
      </c>
      <c r="AF14" s="138">
        <v>700</v>
      </c>
      <c r="AG14" s="67">
        <v>400</v>
      </c>
      <c r="AH14" s="64">
        <v>500</v>
      </c>
      <c r="AI14" s="65">
        <v>0</v>
      </c>
      <c r="AJ14" s="67">
        <v>0</v>
      </c>
      <c r="AK14" s="104">
        <v>400</v>
      </c>
    </row>
    <row r="15" spans="1:37" s="24" customFormat="1" ht="18.600000000000001" thickBot="1" x14ac:dyDescent="0.4">
      <c r="A15" s="23" t="s">
        <v>13</v>
      </c>
      <c r="B15" s="22" t="s">
        <v>14</v>
      </c>
      <c r="C15" s="23" t="s">
        <v>17</v>
      </c>
      <c r="D15" s="68">
        <v>1400</v>
      </c>
      <c r="E15" s="69">
        <v>700</v>
      </c>
      <c r="F15" s="70">
        <v>420</v>
      </c>
      <c r="G15" s="80">
        <f>(D15-(H15*(18/100)))*(100/46)</f>
        <v>2448.0151228733462</v>
      </c>
      <c r="H15" s="125">
        <f t="shared" si="6"/>
        <v>1521.7391304347825</v>
      </c>
      <c r="I15" s="163">
        <f t="shared" si="7"/>
        <v>700</v>
      </c>
      <c r="J15" s="61">
        <f t="shared" si="8"/>
        <v>1071.006616257089</v>
      </c>
      <c r="K15" s="66">
        <f t="shared" si="9"/>
        <v>468.22742474916384</v>
      </c>
      <c r="L15" s="63">
        <f t="shared" si="10"/>
        <v>114.28571428571429</v>
      </c>
      <c r="M15" s="61">
        <f t="shared" si="11"/>
        <v>612.00378071833654</v>
      </c>
      <c r="N15" s="76">
        <f t="shared" si="12"/>
        <v>643.81270903010034</v>
      </c>
      <c r="O15" s="75">
        <f t="shared" si="13"/>
        <v>200</v>
      </c>
      <c r="P15" s="61">
        <f t="shared" si="14"/>
        <v>765.00472589792071</v>
      </c>
      <c r="Q15" s="76">
        <f t="shared" si="15"/>
        <v>409.69899665551839</v>
      </c>
      <c r="R15" s="75">
        <f t="shared" si="16"/>
        <v>200</v>
      </c>
      <c r="S15" s="61">
        <f t="shared" si="17"/>
        <v>0</v>
      </c>
      <c r="T15" s="76">
        <f t="shared" si="18"/>
        <v>0</v>
      </c>
      <c r="U15" s="75">
        <f t="shared" si="19"/>
        <v>185.71428571428572</v>
      </c>
      <c r="W15" s="80">
        <f t="shared" si="5"/>
        <v>2400</v>
      </c>
      <c r="X15" s="80">
        <f t="shared" si="5"/>
        <v>1500</v>
      </c>
      <c r="Y15" s="80">
        <f t="shared" si="5"/>
        <v>800</v>
      </c>
      <c r="Z15" s="105">
        <v>1100</v>
      </c>
      <c r="AA15" s="106">
        <v>500</v>
      </c>
      <c r="AB15" s="107">
        <v>100</v>
      </c>
      <c r="AC15" s="108">
        <v>600</v>
      </c>
      <c r="AD15" s="106">
        <v>600</v>
      </c>
      <c r="AE15" s="107">
        <v>200</v>
      </c>
      <c r="AF15" s="144">
        <v>700</v>
      </c>
      <c r="AG15" s="106">
        <v>400</v>
      </c>
      <c r="AH15" s="107">
        <v>200</v>
      </c>
      <c r="AI15" s="108">
        <v>0</v>
      </c>
      <c r="AJ15" s="106">
        <v>0</v>
      </c>
      <c r="AK15" s="147">
        <v>300</v>
      </c>
    </row>
    <row r="16" spans="1:37" x14ac:dyDescent="0.35">
      <c r="A16" s="25" t="s">
        <v>13</v>
      </c>
      <c r="B16" s="26" t="s">
        <v>63</v>
      </c>
      <c r="C16" s="25" t="s">
        <v>15</v>
      </c>
      <c r="D16" s="71">
        <v>1400</v>
      </c>
      <c r="E16" s="62">
        <v>350</v>
      </c>
      <c r="F16" s="72">
        <v>1680</v>
      </c>
      <c r="G16" s="80">
        <f>(D16-(H16*(18/100)))*(100/46)</f>
        <v>2745.7466918714554</v>
      </c>
      <c r="H16" s="125">
        <f t="shared" si="6"/>
        <v>760.86956521739125</v>
      </c>
      <c r="I16" s="163">
        <f t="shared" si="7"/>
        <v>2800</v>
      </c>
      <c r="J16" s="61">
        <f t="shared" si="8"/>
        <v>1201.2641776937617</v>
      </c>
      <c r="K16" s="66">
        <f t="shared" si="9"/>
        <v>234.11371237458192</v>
      </c>
      <c r="L16" s="63">
        <f t="shared" si="10"/>
        <v>457.14285714285717</v>
      </c>
      <c r="M16" s="61">
        <f t="shared" si="11"/>
        <v>686.43667296786384</v>
      </c>
      <c r="N16" s="76">
        <f t="shared" si="12"/>
        <v>321.90635451505017</v>
      </c>
      <c r="O16" s="75">
        <f t="shared" si="13"/>
        <v>800</v>
      </c>
      <c r="P16" s="61">
        <f t="shared" si="14"/>
        <v>858.04584120982986</v>
      </c>
      <c r="Q16" s="76">
        <f t="shared" si="15"/>
        <v>204.84949832775919</v>
      </c>
      <c r="R16" s="75">
        <f t="shared" si="16"/>
        <v>800</v>
      </c>
      <c r="S16" s="61">
        <f t="shared" si="17"/>
        <v>0</v>
      </c>
      <c r="T16" s="76">
        <f t="shared" si="18"/>
        <v>0</v>
      </c>
      <c r="U16" s="75">
        <f t="shared" si="19"/>
        <v>742.85714285714289</v>
      </c>
      <c r="W16" s="80">
        <f t="shared" si="5"/>
        <v>2700</v>
      </c>
      <c r="X16" s="80">
        <f t="shared" si="5"/>
        <v>800</v>
      </c>
      <c r="Y16" s="80">
        <f t="shared" si="5"/>
        <v>3400</v>
      </c>
      <c r="Z16" s="103">
        <v>1200</v>
      </c>
      <c r="AA16" s="67">
        <v>300</v>
      </c>
      <c r="AB16" s="100">
        <v>500</v>
      </c>
      <c r="AC16" s="65">
        <v>700</v>
      </c>
      <c r="AD16" s="67">
        <v>300</v>
      </c>
      <c r="AE16" s="100">
        <v>1000</v>
      </c>
      <c r="AF16" s="138">
        <v>800</v>
      </c>
      <c r="AG16" s="67">
        <v>200</v>
      </c>
      <c r="AH16" s="100">
        <v>1000</v>
      </c>
      <c r="AI16" s="65">
        <v>0</v>
      </c>
      <c r="AJ16" s="67">
        <v>0</v>
      </c>
      <c r="AK16" s="102">
        <v>900</v>
      </c>
    </row>
    <row r="17" spans="1:37" x14ac:dyDescent="0.35">
      <c r="A17" s="25" t="s">
        <v>13</v>
      </c>
      <c r="B17" s="26" t="s">
        <v>63</v>
      </c>
      <c r="C17" s="25" t="s">
        <v>64</v>
      </c>
      <c r="D17" s="61">
        <v>1400</v>
      </c>
      <c r="E17" s="66">
        <v>350</v>
      </c>
      <c r="F17" s="63">
        <v>840</v>
      </c>
      <c r="G17" s="80">
        <f>(D17-(H17*(18/100)))*(100/46)</f>
        <v>2745.7466918714554</v>
      </c>
      <c r="H17" s="125">
        <f t="shared" si="6"/>
        <v>760.86956521739125</v>
      </c>
      <c r="I17" s="163">
        <f t="shared" si="7"/>
        <v>1400</v>
      </c>
      <c r="J17" s="61">
        <f t="shared" si="8"/>
        <v>1201.2641776937617</v>
      </c>
      <c r="K17" s="66">
        <f t="shared" si="9"/>
        <v>234.11371237458192</v>
      </c>
      <c r="L17" s="63">
        <f t="shared" si="10"/>
        <v>228.57142857142858</v>
      </c>
      <c r="M17" s="61">
        <f t="shared" si="11"/>
        <v>686.43667296786384</v>
      </c>
      <c r="N17" s="76">
        <f t="shared" si="12"/>
        <v>321.90635451505017</v>
      </c>
      <c r="O17" s="75">
        <f t="shared" si="13"/>
        <v>400</v>
      </c>
      <c r="P17" s="61">
        <f t="shared" si="14"/>
        <v>858.04584120982986</v>
      </c>
      <c r="Q17" s="76">
        <f t="shared" si="15"/>
        <v>204.84949832775919</v>
      </c>
      <c r="R17" s="75">
        <f t="shared" si="16"/>
        <v>400</v>
      </c>
      <c r="S17" s="61">
        <f t="shared" si="17"/>
        <v>0</v>
      </c>
      <c r="T17" s="76">
        <f t="shared" si="18"/>
        <v>0</v>
      </c>
      <c r="U17" s="75">
        <f t="shared" si="19"/>
        <v>371.42857142857144</v>
      </c>
      <c r="W17" s="80">
        <f t="shared" ref="W17:Y39" si="20">Z17+AC17+AF17+AI17</f>
        <v>2700</v>
      </c>
      <c r="X17" s="80">
        <f t="shared" si="20"/>
        <v>800</v>
      </c>
      <c r="Y17" s="80">
        <f t="shared" si="20"/>
        <v>1700</v>
      </c>
      <c r="Z17" s="103">
        <v>1200</v>
      </c>
      <c r="AA17" s="67">
        <v>300</v>
      </c>
      <c r="AB17" s="64">
        <v>300</v>
      </c>
      <c r="AC17" s="65">
        <v>700</v>
      </c>
      <c r="AD17" s="67">
        <v>300</v>
      </c>
      <c r="AE17" s="64">
        <v>500</v>
      </c>
      <c r="AF17" s="138">
        <v>800</v>
      </c>
      <c r="AG17" s="67">
        <v>200</v>
      </c>
      <c r="AH17" s="64">
        <v>500</v>
      </c>
      <c r="AI17" s="65">
        <v>0</v>
      </c>
      <c r="AJ17" s="67">
        <v>0</v>
      </c>
      <c r="AK17" s="104">
        <v>400</v>
      </c>
    </row>
    <row r="18" spans="1:37" ht="18.600000000000001" thickBot="1" x14ac:dyDescent="0.4">
      <c r="A18" s="25" t="s">
        <v>13</v>
      </c>
      <c r="B18" s="26" t="s">
        <v>63</v>
      </c>
      <c r="C18" s="25" t="s">
        <v>17</v>
      </c>
      <c r="D18" s="68">
        <v>1400</v>
      </c>
      <c r="E18" s="69">
        <v>350</v>
      </c>
      <c r="F18" s="70">
        <v>420</v>
      </c>
      <c r="G18" s="80">
        <f t="shared" ref="G18:G39" si="21">(D18-(H18*(18/100)))*(100/46)</f>
        <v>2745.7466918714554</v>
      </c>
      <c r="H18" s="125">
        <f t="shared" si="6"/>
        <v>760.86956521739125</v>
      </c>
      <c r="I18" s="163">
        <f t="shared" si="7"/>
        <v>700</v>
      </c>
      <c r="J18" s="61">
        <f t="shared" si="8"/>
        <v>1201.2641776937617</v>
      </c>
      <c r="K18" s="66">
        <f t="shared" si="9"/>
        <v>234.11371237458192</v>
      </c>
      <c r="L18" s="63">
        <f t="shared" si="10"/>
        <v>114.28571428571429</v>
      </c>
      <c r="M18" s="61">
        <f t="shared" si="11"/>
        <v>686.43667296786384</v>
      </c>
      <c r="N18" s="76">
        <f t="shared" si="12"/>
        <v>321.90635451505017</v>
      </c>
      <c r="O18" s="75">
        <f t="shared" si="13"/>
        <v>200</v>
      </c>
      <c r="P18" s="61">
        <f t="shared" si="14"/>
        <v>858.04584120982986</v>
      </c>
      <c r="Q18" s="76">
        <f t="shared" si="15"/>
        <v>204.84949832775919</v>
      </c>
      <c r="R18" s="75">
        <f t="shared" si="16"/>
        <v>200</v>
      </c>
      <c r="S18" s="61">
        <f t="shared" si="17"/>
        <v>0</v>
      </c>
      <c r="T18" s="76">
        <f t="shared" si="18"/>
        <v>0</v>
      </c>
      <c r="U18" s="75">
        <f t="shared" si="19"/>
        <v>185.71428571428572</v>
      </c>
      <c r="W18" s="80">
        <f t="shared" si="20"/>
        <v>2700</v>
      </c>
      <c r="X18" s="80">
        <f t="shared" si="20"/>
        <v>800</v>
      </c>
      <c r="Y18" s="80">
        <f t="shared" si="20"/>
        <v>800</v>
      </c>
      <c r="Z18" s="103">
        <v>1200</v>
      </c>
      <c r="AA18" s="67">
        <v>300</v>
      </c>
      <c r="AB18" s="107">
        <v>100</v>
      </c>
      <c r="AC18" s="65">
        <v>700</v>
      </c>
      <c r="AD18" s="67">
        <v>300</v>
      </c>
      <c r="AE18" s="107">
        <v>200</v>
      </c>
      <c r="AF18" s="138">
        <v>800</v>
      </c>
      <c r="AG18" s="67">
        <v>200</v>
      </c>
      <c r="AH18" s="107">
        <v>200</v>
      </c>
      <c r="AI18" s="65">
        <v>0</v>
      </c>
      <c r="AJ18" s="67">
        <v>0</v>
      </c>
      <c r="AK18" s="147">
        <v>300</v>
      </c>
    </row>
    <row r="19" spans="1:37" x14ac:dyDescent="0.35">
      <c r="A19" s="27" t="s">
        <v>13</v>
      </c>
      <c r="B19" s="28" t="s">
        <v>18</v>
      </c>
      <c r="C19" s="27" t="s">
        <v>15</v>
      </c>
      <c r="D19" s="61">
        <v>1400</v>
      </c>
      <c r="E19" s="66">
        <v>175</v>
      </c>
      <c r="F19" s="63">
        <v>1680</v>
      </c>
      <c r="G19" s="80">
        <f t="shared" si="21"/>
        <v>2894.6124763705102</v>
      </c>
      <c r="H19" s="125">
        <f t="shared" si="6"/>
        <v>380.43478260869563</v>
      </c>
      <c r="I19" s="163">
        <f t="shared" si="7"/>
        <v>2800</v>
      </c>
      <c r="J19" s="61">
        <f t="shared" si="8"/>
        <v>1266.3929584120983</v>
      </c>
      <c r="K19" s="66">
        <f t="shared" si="9"/>
        <v>117.05685618729096</v>
      </c>
      <c r="L19" s="63">
        <f t="shared" si="10"/>
        <v>457.14285714285717</v>
      </c>
      <c r="M19" s="61">
        <f t="shared" si="11"/>
        <v>723.65311909262755</v>
      </c>
      <c r="N19" s="76">
        <f t="shared" si="12"/>
        <v>160.95317725752508</v>
      </c>
      <c r="O19" s="75">
        <f t="shared" si="13"/>
        <v>800</v>
      </c>
      <c r="P19" s="61">
        <f t="shared" si="14"/>
        <v>904.56639886578444</v>
      </c>
      <c r="Q19" s="76">
        <f t="shared" si="15"/>
        <v>102.4247491638796</v>
      </c>
      <c r="R19" s="75">
        <f t="shared" si="16"/>
        <v>800</v>
      </c>
      <c r="S19" s="61">
        <f t="shared" si="17"/>
        <v>0</v>
      </c>
      <c r="T19" s="76">
        <f t="shared" si="18"/>
        <v>0</v>
      </c>
      <c r="U19" s="75">
        <f t="shared" si="19"/>
        <v>742.85714285714289</v>
      </c>
      <c r="W19" s="80">
        <f>Z19+AC19+AF19+AI19</f>
        <v>3000</v>
      </c>
      <c r="X19" s="80">
        <f>AA19+AD19+AG19+AJ19</f>
        <v>400</v>
      </c>
      <c r="Y19" s="80">
        <f t="shared" si="20"/>
        <v>3400</v>
      </c>
      <c r="Z19" s="98">
        <v>1300</v>
      </c>
      <c r="AA19" s="99">
        <v>100</v>
      </c>
      <c r="AB19" s="100">
        <v>500</v>
      </c>
      <c r="AC19" s="143">
        <v>800</v>
      </c>
      <c r="AD19" s="99">
        <v>200</v>
      </c>
      <c r="AE19" s="100">
        <v>1000</v>
      </c>
      <c r="AF19" s="101">
        <v>900</v>
      </c>
      <c r="AG19" s="99">
        <v>100</v>
      </c>
      <c r="AH19" s="100">
        <v>1000</v>
      </c>
      <c r="AI19" s="101">
        <v>0</v>
      </c>
      <c r="AJ19" s="99">
        <v>0</v>
      </c>
      <c r="AK19" s="102">
        <v>900</v>
      </c>
    </row>
    <row r="20" spans="1:37" x14ac:dyDescent="0.35">
      <c r="A20" s="27" t="s">
        <v>13</v>
      </c>
      <c r="B20" s="28" t="s">
        <v>18</v>
      </c>
      <c r="C20" s="27" t="s">
        <v>64</v>
      </c>
      <c r="D20" s="61">
        <v>1400</v>
      </c>
      <c r="E20" s="66">
        <v>175</v>
      </c>
      <c r="F20" s="63">
        <v>840</v>
      </c>
      <c r="G20" s="80">
        <f t="shared" si="21"/>
        <v>2894.6124763705102</v>
      </c>
      <c r="H20" s="125">
        <f t="shared" si="6"/>
        <v>380.43478260869563</v>
      </c>
      <c r="I20" s="163">
        <f t="shared" si="7"/>
        <v>1400</v>
      </c>
      <c r="J20" s="61">
        <f t="shared" si="8"/>
        <v>1266.3929584120983</v>
      </c>
      <c r="K20" s="66">
        <f t="shared" si="9"/>
        <v>117.05685618729096</v>
      </c>
      <c r="L20" s="63">
        <f t="shared" si="10"/>
        <v>228.57142857142858</v>
      </c>
      <c r="M20" s="61">
        <f t="shared" si="11"/>
        <v>723.65311909262755</v>
      </c>
      <c r="N20" s="76">
        <f t="shared" si="12"/>
        <v>160.95317725752508</v>
      </c>
      <c r="O20" s="75">
        <f t="shared" si="13"/>
        <v>400</v>
      </c>
      <c r="P20" s="61">
        <f t="shared" si="14"/>
        <v>904.56639886578444</v>
      </c>
      <c r="Q20" s="76">
        <f t="shared" si="15"/>
        <v>102.4247491638796</v>
      </c>
      <c r="R20" s="75">
        <f t="shared" si="16"/>
        <v>400</v>
      </c>
      <c r="S20" s="61">
        <f t="shared" si="17"/>
        <v>0</v>
      </c>
      <c r="T20" s="76">
        <f t="shared" si="18"/>
        <v>0</v>
      </c>
      <c r="U20" s="75">
        <f t="shared" si="19"/>
        <v>371.42857142857144</v>
      </c>
      <c r="W20" s="80">
        <f t="shared" si="20"/>
        <v>3000</v>
      </c>
      <c r="X20" s="80">
        <f t="shared" si="20"/>
        <v>400</v>
      </c>
      <c r="Y20" s="80">
        <f t="shared" si="20"/>
        <v>1700</v>
      </c>
      <c r="Z20" s="103">
        <v>1300</v>
      </c>
      <c r="AA20" s="67">
        <v>100</v>
      </c>
      <c r="AB20" s="64">
        <v>300</v>
      </c>
      <c r="AC20" s="138">
        <v>800</v>
      </c>
      <c r="AD20" s="67">
        <v>200</v>
      </c>
      <c r="AE20" s="64">
        <v>500</v>
      </c>
      <c r="AF20" s="65">
        <v>900</v>
      </c>
      <c r="AG20" s="67">
        <v>100</v>
      </c>
      <c r="AH20" s="64">
        <v>500</v>
      </c>
      <c r="AI20" s="65">
        <v>0</v>
      </c>
      <c r="AJ20" s="67">
        <v>0</v>
      </c>
      <c r="AK20" s="104">
        <v>400</v>
      </c>
    </row>
    <row r="21" spans="1:37" ht="18.600000000000001" thickBot="1" x14ac:dyDescent="0.4">
      <c r="A21" s="27" t="s">
        <v>13</v>
      </c>
      <c r="B21" s="28" t="s">
        <v>18</v>
      </c>
      <c r="C21" s="27" t="s">
        <v>17</v>
      </c>
      <c r="D21" s="68">
        <v>1400</v>
      </c>
      <c r="E21" s="69">
        <v>175</v>
      </c>
      <c r="F21" s="70">
        <v>420</v>
      </c>
      <c r="G21" s="80">
        <f t="shared" si="21"/>
        <v>2894.6124763705102</v>
      </c>
      <c r="H21" s="125">
        <f t="shared" si="6"/>
        <v>380.43478260869563</v>
      </c>
      <c r="I21" s="163">
        <f t="shared" si="7"/>
        <v>700</v>
      </c>
      <c r="J21" s="61">
        <f t="shared" si="8"/>
        <v>1266.3929584120983</v>
      </c>
      <c r="K21" s="66">
        <f t="shared" si="9"/>
        <v>117.05685618729096</v>
      </c>
      <c r="L21" s="63">
        <f t="shared" si="10"/>
        <v>114.28571428571429</v>
      </c>
      <c r="M21" s="61">
        <f t="shared" si="11"/>
        <v>723.65311909262755</v>
      </c>
      <c r="N21" s="76">
        <f t="shared" si="12"/>
        <v>160.95317725752508</v>
      </c>
      <c r="O21" s="75">
        <f t="shared" si="13"/>
        <v>200</v>
      </c>
      <c r="P21" s="61">
        <f t="shared" si="14"/>
        <v>904.56639886578444</v>
      </c>
      <c r="Q21" s="76">
        <f t="shared" si="15"/>
        <v>102.4247491638796</v>
      </c>
      <c r="R21" s="75">
        <f t="shared" si="16"/>
        <v>200</v>
      </c>
      <c r="S21" s="61">
        <f t="shared" si="17"/>
        <v>0</v>
      </c>
      <c r="T21" s="76">
        <f t="shared" si="18"/>
        <v>0</v>
      </c>
      <c r="U21" s="75">
        <f t="shared" si="19"/>
        <v>185.71428571428572</v>
      </c>
      <c r="W21" s="80">
        <f t="shared" si="20"/>
        <v>3000</v>
      </c>
      <c r="X21" s="80">
        <f t="shared" si="20"/>
        <v>400</v>
      </c>
      <c r="Y21" s="80">
        <f t="shared" si="20"/>
        <v>800</v>
      </c>
      <c r="Z21" s="105">
        <v>1300</v>
      </c>
      <c r="AA21" s="106">
        <v>100</v>
      </c>
      <c r="AB21" s="107">
        <v>100</v>
      </c>
      <c r="AC21" s="144">
        <v>800</v>
      </c>
      <c r="AD21" s="106">
        <v>200</v>
      </c>
      <c r="AE21" s="107">
        <v>200</v>
      </c>
      <c r="AF21" s="108">
        <v>900</v>
      </c>
      <c r="AG21" s="106">
        <v>100</v>
      </c>
      <c r="AH21" s="107">
        <v>200</v>
      </c>
      <c r="AI21" s="108">
        <v>0</v>
      </c>
      <c r="AJ21" s="106">
        <v>0</v>
      </c>
      <c r="AK21" s="147">
        <v>300</v>
      </c>
    </row>
    <row r="22" spans="1:37" x14ac:dyDescent="0.35">
      <c r="A22" s="29" t="s">
        <v>19</v>
      </c>
      <c r="B22" s="30" t="s">
        <v>14</v>
      </c>
      <c r="C22" s="31" t="s">
        <v>15</v>
      </c>
      <c r="D22" s="71">
        <v>700</v>
      </c>
      <c r="E22" s="62">
        <v>700</v>
      </c>
      <c r="F22" s="63">
        <v>1680</v>
      </c>
      <c r="G22" s="80">
        <f t="shared" si="21"/>
        <v>926.27599243856343</v>
      </c>
      <c r="H22" s="125">
        <f t="shared" si="6"/>
        <v>1521.7391304347825</v>
      </c>
      <c r="I22" s="163">
        <f t="shared" si="7"/>
        <v>2800</v>
      </c>
      <c r="J22" s="61">
        <f t="shared" si="8"/>
        <v>405.24574669187149</v>
      </c>
      <c r="K22" s="66">
        <f t="shared" si="9"/>
        <v>468.22742474916384</v>
      </c>
      <c r="L22" s="63">
        <f t="shared" si="10"/>
        <v>457.14285714285717</v>
      </c>
      <c r="M22" s="61">
        <f t="shared" si="11"/>
        <v>231.56899810964086</v>
      </c>
      <c r="N22" s="76">
        <f t="shared" si="12"/>
        <v>643.81270903010034</v>
      </c>
      <c r="O22" s="75">
        <f t="shared" si="13"/>
        <v>800</v>
      </c>
      <c r="P22" s="61">
        <f t="shared" si="14"/>
        <v>289.46124763705109</v>
      </c>
      <c r="Q22" s="76">
        <f t="shared" si="15"/>
        <v>409.69899665551839</v>
      </c>
      <c r="R22" s="75">
        <f t="shared" si="16"/>
        <v>800</v>
      </c>
      <c r="S22" s="61">
        <f t="shared" si="17"/>
        <v>0</v>
      </c>
      <c r="T22" s="76">
        <f t="shared" si="18"/>
        <v>0</v>
      </c>
      <c r="U22" s="75">
        <f t="shared" si="19"/>
        <v>742.85714285714289</v>
      </c>
      <c r="W22" s="80">
        <f>Z22+AC22+AF22+AI22</f>
        <v>900</v>
      </c>
      <c r="X22" s="80">
        <f>AA22+AD22+AG22+AJ22</f>
        <v>1500</v>
      </c>
      <c r="Y22" s="80">
        <f t="shared" si="20"/>
        <v>3400</v>
      </c>
      <c r="Z22" s="103">
        <v>400</v>
      </c>
      <c r="AA22" s="99">
        <v>500</v>
      </c>
      <c r="AB22" s="100">
        <v>500</v>
      </c>
      <c r="AC22" s="65">
        <v>200</v>
      </c>
      <c r="AD22" s="99">
        <v>600</v>
      </c>
      <c r="AE22" s="100">
        <v>1000</v>
      </c>
      <c r="AF22" s="65">
        <v>300</v>
      </c>
      <c r="AG22" s="99">
        <v>400</v>
      </c>
      <c r="AH22" s="100">
        <v>1000</v>
      </c>
      <c r="AI22" s="65">
        <v>0</v>
      </c>
      <c r="AJ22" s="67">
        <v>0</v>
      </c>
      <c r="AK22" s="102">
        <v>900</v>
      </c>
    </row>
    <row r="23" spans="1:37" x14ac:dyDescent="0.35">
      <c r="A23" s="29" t="s">
        <v>19</v>
      </c>
      <c r="B23" s="30" t="s">
        <v>14</v>
      </c>
      <c r="C23" s="31" t="s">
        <v>64</v>
      </c>
      <c r="D23" s="61">
        <v>700</v>
      </c>
      <c r="E23" s="66">
        <v>700</v>
      </c>
      <c r="F23" s="63">
        <v>840</v>
      </c>
      <c r="G23" s="80">
        <f t="shared" si="21"/>
        <v>926.27599243856343</v>
      </c>
      <c r="H23" s="125">
        <f t="shared" si="6"/>
        <v>1521.7391304347825</v>
      </c>
      <c r="I23" s="163">
        <f t="shared" si="7"/>
        <v>1400</v>
      </c>
      <c r="J23" s="61">
        <f t="shared" si="8"/>
        <v>405.24574669187149</v>
      </c>
      <c r="K23" s="66">
        <f t="shared" si="9"/>
        <v>468.22742474916384</v>
      </c>
      <c r="L23" s="63">
        <f t="shared" si="10"/>
        <v>228.57142857142858</v>
      </c>
      <c r="M23" s="61">
        <f t="shared" si="11"/>
        <v>231.56899810964086</v>
      </c>
      <c r="N23" s="76">
        <f t="shared" si="12"/>
        <v>643.81270903010034</v>
      </c>
      <c r="O23" s="75">
        <f t="shared" si="13"/>
        <v>400</v>
      </c>
      <c r="P23" s="61">
        <f t="shared" si="14"/>
        <v>289.46124763705109</v>
      </c>
      <c r="Q23" s="76">
        <f t="shared" si="15"/>
        <v>409.69899665551839</v>
      </c>
      <c r="R23" s="75">
        <f t="shared" si="16"/>
        <v>400</v>
      </c>
      <c r="S23" s="61">
        <f t="shared" si="17"/>
        <v>0</v>
      </c>
      <c r="T23" s="76">
        <f t="shared" si="18"/>
        <v>0</v>
      </c>
      <c r="U23" s="75">
        <f t="shared" si="19"/>
        <v>371.42857142857144</v>
      </c>
      <c r="W23" s="80">
        <f t="shared" si="20"/>
        <v>900</v>
      </c>
      <c r="X23" s="80">
        <f t="shared" si="20"/>
        <v>1500</v>
      </c>
      <c r="Y23" s="80">
        <f t="shared" si="20"/>
        <v>1700</v>
      </c>
      <c r="Z23" s="103">
        <v>400</v>
      </c>
      <c r="AA23" s="67">
        <v>500</v>
      </c>
      <c r="AB23" s="64">
        <v>300</v>
      </c>
      <c r="AC23" s="65">
        <v>200</v>
      </c>
      <c r="AD23" s="67">
        <v>600</v>
      </c>
      <c r="AE23" s="64">
        <v>500</v>
      </c>
      <c r="AF23" s="65">
        <v>300</v>
      </c>
      <c r="AG23" s="67">
        <v>400</v>
      </c>
      <c r="AH23" s="64">
        <v>500</v>
      </c>
      <c r="AI23" s="65">
        <v>0</v>
      </c>
      <c r="AJ23" s="67">
        <v>0</v>
      </c>
      <c r="AK23" s="104">
        <v>400</v>
      </c>
    </row>
    <row r="24" spans="1:37" ht="18.600000000000001" thickBot="1" x14ac:dyDescent="0.4">
      <c r="A24" s="29" t="s">
        <v>19</v>
      </c>
      <c r="B24" s="30" t="s">
        <v>14</v>
      </c>
      <c r="C24" s="31" t="s">
        <v>17</v>
      </c>
      <c r="D24" s="68">
        <v>700</v>
      </c>
      <c r="E24" s="69">
        <v>700</v>
      </c>
      <c r="F24" s="70">
        <v>420</v>
      </c>
      <c r="G24" s="80">
        <f t="shared" si="21"/>
        <v>926.27599243856343</v>
      </c>
      <c r="H24" s="125">
        <f t="shared" si="6"/>
        <v>1521.7391304347825</v>
      </c>
      <c r="I24" s="163">
        <f t="shared" si="7"/>
        <v>700</v>
      </c>
      <c r="J24" s="61">
        <f t="shared" si="8"/>
        <v>405.24574669187149</v>
      </c>
      <c r="K24" s="66">
        <f t="shared" si="9"/>
        <v>468.22742474916384</v>
      </c>
      <c r="L24" s="63">
        <f t="shared" si="10"/>
        <v>114.28571428571429</v>
      </c>
      <c r="M24" s="61">
        <f t="shared" si="11"/>
        <v>231.56899810964086</v>
      </c>
      <c r="N24" s="76">
        <f t="shared" si="12"/>
        <v>643.81270903010034</v>
      </c>
      <c r="O24" s="75">
        <f t="shared" si="13"/>
        <v>200</v>
      </c>
      <c r="P24" s="61">
        <f t="shared" si="14"/>
        <v>289.46124763705109</v>
      </c>
      <c r="Q24" s="76">
        <f t="shared" si="15"/>
        <v>409.69899665551839</v>
      </c>
      <c r="R24" s="75">
        <f t="shared" si="16"/>
        <v>200</v>
      </c>
      <c r="S24" s="61">
        <f t="shared" si="17"/>
        <v>0</v>
      </c>
      <c r="T24" s="76">
        <f t="shared" si="18"/>
        <v>0</v>
      </c>
      <c r="U24" s="75">
        <f t="shared" si="19"/>
        <v>185.71428571428572</v>
      </c>
      <c r="W24" s="80">
        <f t="shared" si="20"/>
        <v>900</v>
      </c>
      <c r="X24" s="80">
        <f t="shared" si="20"/>
        <v>1500</v>
      </c>
      <c r="Y24" s="80">
        <f t="shared" si="20"/>
        <v>800</v>
      </c>
      <c r="Z24" s="103">
        <v>400</v>
      </c>
      <c r="AA24" s="106">
        <v>500</v>
      </c>
      <c r="AB24" s="107">
        <v>100</v>
      </c>
      <c r="AC24" s="65">
        <v>200</v>
      </c>
      <c r="AD24" s="106">
        <v>600</v>
      </c>
      <c r="AE24" s="107">
        <v>200</v>
      </c>
      <c r="AF24" s="65">
        <v>300</v>
      </c>
      <c r="AG24" s="106">
        <v>400</v>
      </c>
      <c r="AH24" s="107">
        <v>200</v>
      </c>
      <c r="AI24" s="65">
        <v>0</v>
      </c>
      <c r="AJ24" s="67">
        <v>0</v>
      </c>
      <c r="AK24" s="147">
        <v>300</v>
      </c>
    </row>
    <row r="25" spans="1:37" x14ac:dyDescent="0.35">
      <c r="A25" s="32" t="s">
        <v>19</v>
      </c>
      <c r="B25" s="33" t="s">
        <v>63</v>
      </c>
      <c r="C25" s="34" t="s">
        <v>15</v>
      </c>
      <c r="D25" s="61">
        <v>700</v>
      </c>
      <c r="E25" s="62">
        <v>350</v>
      </c>
      <c r="F25" s="72">
        <v>1680</v>
      </c>
      <c r="G25" s="80">
        <f t="shared" si="21"/>
        <v>1224.0075614366731</v>
      </c>
      <c r="H25" s="125">
        <f t="shared" si="6"/>
        <v>760.86956521739125</v>
      </c>
      <c r="I25" s="163">
        <f t="shared" si="7"/>
        <v>2800</v>
      </c>
      <c r="J25" s="61">
        <f t="shared" si="8"/>
        <v>535.50330812854452</v>
      </c>
      <c r="K25" s="66">
        <f t="shared" si="9"/>
        <v>234.11371237458192</v>
      </c>
      <c r="L25" s="63">
        <f t="shared" si="10"/>
        <v>457.14285714285717</v>
      </c>
      <c r="M25" s="61">
        <f t="shared" si="11"/>
        <v>306.00189035916827</v>
      </c>
      <c r="N25" s="76">
        <f t="shared" si="12"/>
        <v>321.90635451505017</v>
      </c>
      <c r="O25" s="75">
        <f t="shared" si="13"/>
        <v>800</v>
      </c>
      <c r="P25" s="61">
        <f t="shared" si="14"/>
        <v>382.50236294896035</v>
      </c>
      <c r="Q25" s="76">
        <f t="shared" si="15"/>
        <v>204.84949832775919</v>
      </c>
      <c r="R25" s="75">
        <f t="shared" si="16"/>
        <v>800</v>
      </c>
      <c r="S25" s="61">
        <f t="shared" si="17"/>
        <v>0</v>
      </c>
      <c r="T25" s="76">
        <f t="shared" si="18"/>
        <v>0</v>
      </c>
      <c r="U25" s="75">
        <f t="shared" si="19"/>
        <v>742.85714285714289</v>
      </c>
      <c r="W25" s="80">
        <f>Z25+AC25+AF25+AI25</f>
        <v>1200</v>
      </c>
      <c r="X25" s="80">
        <f t="shared" si="20"/>
        <v>800</v>
      </c>
      <c r="Y25" s="80">
        <f t="shared" si="20"/>
        <v>3400</v>
      </c>
      <c r="Z25" s="98">
        <v>500</v>
      </c>
      <c r="AA25" s="67">
        <v>300</v>
      </c>
      <c r="AB25" s="100">
        <v>500</v>
      </c>
      <c r="AC25" s="101">
        <v>300</v>
      </c>
      <c r="AD25" s="67">
        <v>300</v>
      </c>
      <c r="AE25" s="100">
        <v>1000</v>
      </c>
      <c r="AF25" s="101">
        <v>400</v>
      </c>
      <c r="AG25" s="67">
        <v>200</v>
      </c>
      <c r="AH25" s="100">
        <v>1000</v>
      </c>
      <c r="AI25" s="101">
        <v>0</v>
      </c>
      <c r="AJ25" s="99">
        <v>0</v>
      </c>
      <c r="AK25" s="102">
        <v>900</v>
      </c>
    </row>
    <row r="26" spans="1:37" x14ac:dyDescent="0.35">
      <c r="A26" s="32" t="s">
        <v>19</v>
      </c>
      <c r="B26" s="33" t="s">
        <v>63</v>
      </c>
      <c r="C26" s="34" t="s">
        <v>64</v>
      </c>
      <c r="D26" s="61">
        <v>700</v>
      </c>
      <c r="E26" s="66">
        <v>350</v>
      </c>
      <c r="F26" s="63">
        <v>840</v>
      </c>
      <c r="G26" s="80">
        <f t="shared" si="21"/>
        <v>1224.0075614366731</v>
      </c>
      <c r="H26" s="125">
        <f t="shared" si="6"/>
        <v>760.86956521739125</v>
      </c>
      <c r="I26" s="163">
        <f t="shared" si="7"/>
        <v>1400</v>
      </c>
      <c r="J26" s="61">
        <f t="shared" si="8"/>
        <v>535.50330812854452</v>
      </c>
      <c r="K26" s="66">
        <f t="shared" si="9"/>
        <v>234.11371237458192</v>
      </c>
      <c r="L26" s="63">
        <f t="shared" si="10"/>
        <v>228.57142857142858</v>
      </c>
      <c r="M26" s="61">
        <f t="shared" si="11"/>
        <v>306.00189035916827</v>
      </c>
      <c r="N26" s="76">
        <f t="shared" si="12"/>
        <v>321.90635451505017</v>
      </c>
      <c r="O26" s="75">
        <f t="shared" si="13"/>
        <v>400</v>
      </c>
      <c r="P26" s="61">
        <f t="shared" si="14"/>
        <v>382.50236294896035</v>
      </c>
      <c r="Q26" s="76">
        <f t="shared" si="15"/>
        <v>204.84949832775919</v>
      </c>
      <c r="R26" s="75">
        <f t="shared" si="16"/>
        <v>400</v>
      </c>
      <c r="S26" s="61">
        <f t="shared" si="17"/>
        <v>0</v>
      </c>
      <c r="T26" s="76">
        <f t="shared" si="18"/>
        <v>0</v>
      </c>
      <c r="U26" s="75">
        <f t="shared" si="19"/>
        <v>371.42857142857144</v>
      </c>
      <c r="W26" s="80">
        <f t="shared" si="20"/>
        <v>1200</v>
      </c>
      <c r="X26" s="80">
        <f t="shared" si="20"/>
        <v>800</v>
      </c>
      <c r="Y26" s="80">
        <f t="shared" si="20"/>
        <v>1700</v>
      </c>
      <c r="Z26" s="103">
        <v>500</v>
      </c>
      <c r="AA26" s="67">
        <v>300</v>
      </c>
      <c r="AB26" s="64">
        <v>300</v>
      </c>
      <c r="AC26" s="65">
        <v>300</v>
      </c>
      <c r="AD26" s="67">
        <v>300</v>
      </c>
      <c r="AE26" s="64">
        <v>500</v>
      </c>
      <c r="AF26" s="65">
        <v>400</v>
      </c>
      <c r="AG26" s="67">
        <v>200</v>
      </c>
      <c r="AH26" s="64">
        <v>500</v>
      </c>
      <c r="AI26" s="65">
        <v>0</v>
      </c>
      <c r="AJ26" s="67">
        <v>0</v>
      </c>
      <c r="AK26" s="104">
        <v>400</v>
      </c>
    </row>
    <row r="27" spans="1:37" ht="18.600000000000001" thickBot="1" x14ac:dyDescent="0.4">
      <c r="A27" s="32" t="s">
        <v>19</v>
      </c>
      <c r="B27" s="33" t="s">
        <v>63</v>
      </c>
      <c r="C27" s="34" t="s">
        <v>17</v>
      </c>
      <c r="D27" s="68">
        <v>700</v>
      </c>
      <c r="E27" s="69">
        <v>350</v>
      </c>
      <c r="F27" s="70">
        <v>420</v>
      </c>
      <c r="G27" s="80">
        <f t="shared" si="21"/>
        <v>1224.0075614366731</v>
      </c>
      <c r="H27" s="125">
        <f t="shared" si="6"/>
        <v>760.86956521739125</v>
      </c>
      <c r="I27" s="163">
        <f t="shared" si="7"/>
        <v>700</v>
      </c>
      <c r="J27" s="61">
        <f t="shared" si="8"/>
        <v>535.50330812854452</v>
      </c>
      <c r="K27" s="66">
        <f t="shared" si="9"/>
        <v>234.11371237458192</v>
      </c>
      <c r="L27" s="63">
        <f t="shared" si="10"/>
        <v>114.28571428571429</v>
      </c>
      <c r="M27" s="61">
        <f t="shared" si="11"/>
        <v>306.00189035916827</v>
      </c>
      <c r="N27" s="76">
        <f t="shared" si="12"/>
        <v>321.90635451505017</v>
      </c>
      <c r="O27" s="75">
        <f t="shared" si="13"/>
        <v>200</v>
      </c>
      <c r="P27" s="61">
        <f t="shared" si="14"/>
        <v>382.50236294896035</v>
      </c>
      <c r="Q27" s="76">
        <f t="shared" si="15"/>
        <v>204.84949832775919</v>
      </c>
      <c r="R27" s="75">
        <f t="shared" si="16"/>
        <v>200</v>
      </c>
      <c r="S27" s="61">
        <f t="shared" si="17"/>
        <v>0</v>
      </c>
      <c r="T27" s="76">
        <f t="shared" si="18"/>
        <v>0</v>
      </c>
      <c r="U27" s="75">
        <f t="shared" si="19"/>
        <v>185.71428571428572</v>
      </c>
      <c r="W27" s="80">
        <f t="shared" si="20"/>
        <v>1200</v>
      </c>
      <c r="X27" s="80">
        <f t="shared" si="20"/>
        <v>800</v>
      </c>
      <c r="Y27" s="80">
        <f t="shared" si="20"/>
        <v>800</v>
      </c>
      <c r="Z27" s="105">
        <v>500</v>
      </c>
      <c r="AA27" s="67">
        <v>300</v>
      </c>
      <c r="AB27" s="107">
        <v>100</v>
      </c>
      <c r="AC27" s="108">
        <v>300</v>
      </c>
      <c r="AD27" s="67">
        <v>300</v>
      </c>
      <c r="AE27" s="107">
        <v>200</v>
      </c>
      <c r="AF27" s="108">
        <v>400</v>
      </c>
      <c r="AG27" s="67">
        <v>200</v>
      </c>
      <c r="AH27" s="107">
        <v>200</v>
      </c>
      <c r="AI27" s="108">
        <v>0</v>
      </c>
      <c r="AJ27" s="106">
        <v>0</v>
      </c>
      <c r="AK27" s="147">
        <v>300</v>
      </c>
    </row>
    <row r="28" spans="1:37" x14ac:dyDescent="0.35">
      <c r="A28" s="35" t="s">
        <v>19</v>
      </c>
      <c r="B28" s="36" t="s">
        <v>18</v>
      </c>
      <c r="C28" s="37" t="s">
        <v>15</v>
      </c>
      <c r="D28" s="71">
        <v>700</v>
      </c>
      <c r="E28" s="62">
        <v>175</v>
      </c>
      <c r="F28" s="72">
        <v>1680</v>
      </c>
      <c r="G28" s="80">
        <f t="shared" si="21"/>
        <v>1372.8733459357277</v>
      </c>
      <c r="H28" s="125">
        <f t="shared" si="6"/>
        <v>380.43478260869563</v>
      </c>
      <c r="I28" s="163">
        <f t="shared" si="7"/>
        <v>2800</v>
      </c>
      <c r="J28" s="61">
        <f t="shared" si="8"/>
        <v>600.63208884688083</v>
      </c>
      <c r="K28" s="66">
        <f t="shared" si="9"/>
        <v>117.05685618729096</v>
      </c>
      <c r="L28" s="63">
        <f t="shared" si="10"/>
        <v>457.14285714285717</v>
      </c>
      <c r="M28" s="61">
        <f t="shared" si="11"/>
        <v>343.21833648393192</v>
      </c>
      <c r="N28" s="76">
        <f t="shared" si="12"/>
        <v>160.95317725752508</v>
      </c>
      <c r="O28" s="75">
        <f t="shared" si="13"/>
        <v>800</v>
      </c>
      <c r="P28" s="61">
        <f t="shared" si="14"/>
        <v>429.02292060491493</v>
      </c>
      <c r="Q28" s="76">
        <f t="shared" si="15"/>
        <v>102.4247491638796</v>
      </c>
      <c r="R28" s="75">
        <f t="shared" si="16"/>
        <v>800</v>
      </c>
      <c r="S28" s="61">
        <f t="shared" si="17"/>
        <v>0</v>
      </c>
      <c r="T28" s="76">
        <f t="shared" si="18"/>
        <v>0</v>
      </c>
      <c r="U28" s="75">
        <f t="shared" si="19"/>
        <v>742.85714285714289</v>
      </c>
      <c r="W28" s="80">
        <f>Z28+AC28+AF28+AI28</f>
        <v>1400</v>
      </c>
      <c r="X28" s="80">
        <f t="shared" si="20"/>
        <v>400</v>
      </c>
      <c r="Y28" s="80">
        <f t="shared" si="20"/>
        <v>3400</v>
      </c>
      <c r="Z28" s="103">
        <v>600</v>
      </c>
      <c r="AA28" s="99">
        <v>100</v>
      </c>
      <c r="AB28" s="100">
        <v>500</v>
      </c>
      <c r="AC28" s="65">
        <v>400</v>
      </c>
      <c r="AD28" s="99">
        <v>200</v>
      </c>
      <c r="AE28" s="100">
        <v>1000</v>
      </c>
      <c r="AF28" s="65">
        <v>400</v>
      </c>
      <c r="AG28" s="99">
        <v>100</v>
      </c>
      <c r="AH28" s="100">
        <v>1000</v>
      </c>
      <c r="AI28" s="65">
        <v>0</v>
      </c>
      <c r="AJ28" s="67">
        <v>0</v>
      </c>
      <c r="AK28" s="102">
        <v>900</v>
      </c>
    </row>
    <row r="29" spans="1:37" x14ac:dyDescent="0.35">
      <c r="A29" s="35" t="s">
        <v>19</v>
      </c>
      <c r="B29" s="36" t="s">
        <v>18</v>
      </c>
      <c r="C29" s="37" t="s">
        <v>64</v>
      </c>
      <c r="D29" s="61">
        <v>700</v>
      </c>
      <c r="E29" s="66">
        <v>175</v>
      </c>
      <c r="F29" s="63">
        <v>840</v>
      </c>
      <c r="G29" s="80">
        <f t="shared" si="21"/>
        <v>1372.8733459357277</v>
      </c>
      <c r="H29" s="125">
        <f t="shared" si="6"/>
        <v>380.43478260869563</v>
      </c>
      <c r="I29" s="163">
        <f t="shared" si="7"/>
        <v>1400</v>
      </c>
      <c r="J29" s="61">
        <f t="shared" si="8"/>
        <v>600.63208884688083</v>
      </c>
      <c r="K29" s="66">
        <f t="shared" si="9"/>
        <v>117.05685618729096</v>
      </c>
      <c r="L29" s="63">
        <f t="shared" si="10"/>
        <v>228.57142857142858</v>
      </c>
      <c r="M29" s="61">
        <f t="shared" si="11"/>
        <v>343.21833648393192</v>
      </c>
      <c r="N29" s="76">
        <f t="shared" si="12"/>
        <v>160.95317725752508</v>
      </c>
      <c r="O29" s="75">
        <f t="shared" si="13"/>
        <v>400</v>
      </c>
      <c r="P29" s="61">
        <f t="shared" si="14"/>
        <v>429.02292060491493</v>
      </c>
      <c r="Q29" s="76">
        <f t="shared" si="15"/>
        <v>102.4247491638796</v>
      </c>
      <c r="R29" s="75">
        <f t="shared" si="16"/>
        <v>400</v>
      </c>
      <c r="S29" s="61">
        <f t="shared" si="17"/>
        <v>0</v>
      </c>
      <c r="T29" s="76">
        <f t="shared" si="18"/>
        <v>0</v>
      </c>
      <c r="U29" s="75">
        <f t="shared" si="19"/>
        <v>371.42857142857144</v>
      </c>
      <c r="W29" s="80">
        <f t="shared" si="20"/>
        <v>1400</v>
      </c>
      <c r="X29" s="80">
        <f t="shared" si="20"/>
        <v>400</v>
      </c>
      <c r="Y29" s="80">
        <f t="shared" si="20"/>
        <v>1700</v>
      </c>
      <c r="Z29" s="103">
        <v>600</v>
      </c>
      <c r="AA29" s="67">
        <v>100</v>
      </c>
      <c r="AB29" s="64">
        <v>300</v>
      </c>
      <c r="AC29" s="65">
        <v>400</v>
      </c>
      <c r="AD29" s="67">
        <v>200</v>
      </c>
      <c r="AE29" s="64">
        <v>500</v>
      </c>
      <c r="AF29" s="65">
        <v>400</v>
      </c>
      <c r="AG29" s="67">
        <v>100</v>
      </c>
      <c r="AH29" s="64">
        <v>500</v>
      </c>
      <c r="AI29" s="65">
        <v>0</v>
      </c>
      <c r="AJ29" s="67">
        <v>0</v>
      </c>
      <c r="AK29" s="104">
        <v>400</v>
      </c>
    </row>
    <row r="30" spans="1:37" ht="18.600000000000001" thickBot="1" x14ac:dyDescent="0.4">
      <c r="A30" s="35" t="s">
        <v>19</v>
      </c>
      <c r="B30" s="36" t="s">
        <v>18</v>
      </c>
      <c r="C30" s="37" t="s">
        <v>17</v>
      </c>
      <c r="D30" s="68">
        <v>700</v>
      </c>
      <c r="E30" s="69">
        <v>175</v>
      </c>
      <c r="F30" s="70">
        <v>420</v>
      </c>
      <c r="G30" s="80">
        <f t="shared" si="21"/>
        <v>1372.8733459357277</v>
      </c>
      <c r="H30" s="125">
        <f t="shared" si="6"/>
        <v>380.43478260869563</v>
      </c>
      <c r="I30" s="163">
        <f t="shared" si="7"/>
        <v>700</v>
      </c>
      <c r="J30" s="61">
        <f t="shared" si="8"/>
        <v>600.63208884688083</v>
      </c>
      <c r="K30" s="66">
        <f t="shared" si="9"/>
        <v>117.05685618729096</v>
      </c>
      <c r="L30" s="63">
        <f t="shared" si="10"/>
        <v>114.28571428571429</v>
      </c>
      <c r="M30" s="61">
        <f t="shared" si="11"/>
        <v>343.21833648393192</v>
      </c>
      <c r="N30" s="76">
        <f t="shared" si="12"/>
        <v>160.95317725752508</v>
      </c>
      <c r="O30" s="75">
        <f t="shared" si="13"/>
        <v>200</v>
      </c>
      <c r="P30" s="61">
        <f t="shared" si="14"/>
        <v>429.02292060491493</v>
      </c>
      <c r="Q30" s="76">
        <f t="shared" si="15"/>
        <v>102.4247491638796</v>
      </c>
      <c r="R30" s="75">
        <f t="shared" si="16"/>
        <v>200</v>
      </c>
      <c r="S30" s="61">
        <f t="shared" si="17"/>
        <v>0</v>
      </c>
      <c r="T30" s="76">
        <f t="shared" si="18"/>
        <v>0</v>
      </c>
      <c r="U30" s="75">
        <f t="shared" si="19"/>
        <v>185.71428571428572</v>
      </c>
      <c r="W30" s="80">
        <f t="shared" si="20"/>
        <v>1400</v>
      </c>
      <c r="X30" s="80">
        <f t="shared" si="20"/>
        <v>400</v>
      </c>
      <c r="Y30" s="80">
        <f t="shared" si="20"/>
        <v>800</v>
      </c>
      <c r="Z30" s="103">
        <v>600</v>
      </c>
      <c r="AA30" s="106">
        <v>100</v>
      </c>
      <c r="AB30" s="107">
        <v>100</v>
      </c>
      <c r="AC30" s="65">
        <v>400</v>
      </c>
      <c r="AD30" s="106">
        <v>200</v>
      </c>
      <c r="AE30" s="107">
        <v>200</v>
      </c>
      <c r="AF30" s="65">
        <v>400</v>
      </c>
      <c r="AG30" s="106">
        <v>100</v>
      </c>
      <c r="AH30" s="107">
        <v>200</v>
      </c>
      <c r="AI30" s="65">
        <v>0</v>
      </c>
      <c r="AJ30" s="67">
        <v>0</v>
      </c>
      <c r="AK30" s="147">
        <v>300</v>
      </c>
    </row>
    <row r="31" spans="1:37" x14ac:dyDescent="0.35">
      <c r="A31" s="38" t="s">
        <v>20</v>
      </c>
      <c r="B31" s="39" t="s">
        <v>14</v>
      </c>
      <c r="C31" s="40" t="s">
        <v>15</v>
      </c>
      <c r="D31" s="71">
        <v>350</v>
      </c>
      <c r="E31" s="62">
        <v>700</v>
      </c>
      <c r="F31" s="63">
        <v>1680</v>
      </c>
      <c r="G31" s="80">
        <f t="shared" si="21"/>
        <v>165.40642722117212</v>
      </c>
      <c r="H31" s="125">
        <f t="shared" si="6"/>
        <v>1521.7391304347825</v>
      </c>
      <c r="I31" s="163">
        <f t="shared" si="7"/>
        <v>2800</v>
      </c>
      <c r="J31" s="61">
        <f t="shared" si="8"/>
        <v>72.3653119092628</v>
      </c>
      <c r="K31" s="66">
        <f t="shared" si="9"/>
        <v>468.22742474916384</v>
      </c>
      <c r="L31" s="63">
        <f t="shared" si="10"/>
        <v>457.14285714285717</v>
      </c>
      <c r="M31" s="61">
        <f t="shared" si="11"/>
        <v>41.351606805293031</v>
      </c>
      <c r="N31" s="76">
        <f t="shared" si="12"/>
        <v>643.81270903010034</v>
      </c>
      <c r="O31" s="75">
        <f t="shared" si="13"/>
        <v>800</v>
      </c>
      <c r="P31" s="61">
        <f t="shared" si="14"/>
        <v>51.689508506616292</v>
      </c>
      <c r="Q31" s="76">
        <f t="shared" si="15"/>
        <v>409.69899665551839</v>
      </c>
      <c r="R31" s="75">
        <f t="shared" si="16"/>
        <v>800</v>
      </c>
      <c r="S31" s="61">
        <f t="shared" si="17"/>
        <v>0</v>
      </c>
      <c r="T31" s="76">
        <f t="shared" si="18"/>
        <v>0</v>
      </c>
      <c r="U31" s="75">
        <f t="shared" si="19"/>
        <v>742.85714285714289</v>
      </c>
      <c r="W31" s="80">
        <f>Z31+AC31+AF31+AI31</f>
        <v>300</v>
      </c>
      <c r="X31" s="80">
        <f t="shared" si="20"/>
        <v>1500</v>
      </c>
      <c r="Y31" s="80">
        <f t="shared" si="20"/>
        <v>3400</v>
      </c>
      <c r="Z31" s="98">
        <v>100</v>
      </c>
      <c r="AA31" s="99">
        <v>500</v>
      </c>
      <c r="AB31" s="100">
        <v>500</v>
      </c>
      <c r="AC31" s="101">
        <v>100</v>
      </c>
      <c r="AD31" s="99">
        <v>600</v>
      </c>
      <c r="AE31" s="100">
        <v>1000</v>
      </c>
      <c r="AF31" s="101">
        <v>100</v>
      </c>
      <c r="AG31" s="99">
        <v>400</v>
      </c>
      <c r="AH31" s="100">
        <v>1000</v>
      </c>
      <c r="AI31" s="101">
        <v>0</v>
      </c>
      <c r="AJ31" s="99">
        <v>0</v>
      </c>
      <c r="AK31" s="102">
        <v>900</v>
      </c>
    </row>
    <row r="32" spans="1:37" x14ac:dyDescent="0.35">
      <c r="A32" s="38" t="s">
        <v>20</v>
      </c>
      <c r="B32" s="39" t="s">
        <v>14</v>
      </c>
      <c r="C32" s="40" t="s">
        <v>64</v>
      </c>
      <c r="D32" s="61">
        <v>350</v>
      </c>
      <c r="E32" s="66">
        <v>700</v>
      </c>
      <c r="F32" s="63">
        <v>840</v>
      </c>
      <c r="G32" s="80">
        <f t="shared" si="21"/>
        <v>165.40642722117212</v>
      </c>
      <c r="H32" s="125">
        <f t="shared" si="6"/>
        <v>1521.7391304347825</v>
      </c>
      <c r="I32" s="163">
        <f t="shared" si="7"/>
        <v>1400</v>
      </c>
      <c r="J32" s="61">
        <f t="shared" si="8"/>
        <v>72.3653119092628</v>
      </c>
      <c r="K32" s="66">
        <f t="shared" si="9"/>
        <v>468.22742474916384</v>
      </c>
      <c r="L32" s="63">
        <f t="shared" si="10"/>
        <v>228.57142857142858</v>
      </c>
      <c r="M32" s="61">
        <f t="shared" si="11"/>
        <v>41.351606805293031</v>
      </c>
      <c r="N32" s="76">
        <f t="shared" si="12"/>
        <v>643.81270903010034</v>
      </c>
      <c r="O32" s="75">
        <f t="shared" si="13"/>
        <v>400</v>
      </c>
      <c r="P32" s="61">
        <f t="shared" si="14"/>
        <v>51.689508506616292</v>
      </c>
      <c r="Q32" s="76">
        <f t="shared" si="15"/>
        <v>409.69899665551839</v>
      </c>
      <c r="R32" s="75">
        <f t="shared" si="16"/>
        <v>400</v>
      </c>
      <c r="S32" s="61">
        <f t="shared" si="17"/>
        <v>0</v>
      </c>
      <c r="T32" s="76">
        <f t="shared" si="18"/>
        <v>0</v>
      </c>
      <c r="U32" s="75">
        <f t="shared" si="19"/>
        <v>371.42857142857144</v>
      </c>
      <c r="W32" s="80">
        <f t="shared" si="20"/>
        <v>300</v>
      </c>
      <c r="X32" s="80">
        <f t="shared" si="20"/>
        <v>1500</v>
      </c>
      <c r="Y32" s="80">
        <f t="shared" si="20"/>
        <v>1700</v>
      </c>
      <c r="Z32" s="103">
        <v>100</v>
      </c>
      <c r="AA32" s="67">
        <v>500</v>
      </c>
      <c r="AB32" s="64">
        <v>300</v>
      </c>
      <c r="AC32" s="65">
        <v>100</v>
      </c>
      <c r="AD32" s="67">
        <v>600</v>
      </c>
      <c r="AE32" s="64">
        <v>500</v>
      </c>
      <c r="AF32" s="65">
        <v>100</v>
      </c>
      <c r="AG32" s="67">
        <v>400</v>
      </c>
      <c r="AH32" s="64">
        <v>500</v>
      </c>
      <c r="AI32" s="65">
        <v>0</v>
      </c>
      <c r="AJ32" s="67">
        <v>0</v>
      </c>
      <c r="AK32" s="104">
        <v>400</v>
      </c>
    </row>
    <row r="33" spans="1:37" ht="18.600000000000001" thickBot="1" x14ac:dyDescent="0.4">
      <c r="A33" s="38" t="s">
        <v>20</v>
      </c>
      <c r="B33" s="39" t="s">
        <v>14</v>
      </c>
      <c r="C33" s="40" t="s">
        <v>17</v>
      </c>
      <c r="D33" s="68">
        <v>350</v>
      </c>
      <c r="E33" s="69">
        <v>700</v>
      </c>
      <c r="F33" s="70">
        <v>420</v>
      </c>
      <c r="G33" s="80">
        <f t="shared" si="21"/>
        <v>165.40642722117212</v>
      </c>
      <c r="H33" s="125">
        <f t="shared" si="6"/>
        <v>1521.7391304347825</v>
      </c>
      <c r="I33" s="163">
        <f t="shared" si="7"/>
        <v>700</v>
      </c>
      <c r="J33" s="61">
        <f t="shared" si="8"/>
        <v>72.3653119092628</v>
      </c>
      <c r="K33" s="66">
        <f t="shared" si="9"/>
        <v>468.22742474916384</v>
      </c>
      <c r="L33" s="63">
        <f t="shared" si="10"/>
        <v>114.28571428571429</v>
      </c>
      <c r="M33" s="61">
        <f t="shared" si="11"/>
        <v>41.351606805293031</v>
      </c>
      <c r="N33" s="76">
        <f t="shared" si="12"/>
        <v>643.81270903010034</v>
      </c>
      <c r="O33" s="75">
        <f t="shared" si="13"/>
        <v>200</v>
      </c>
      <c r="P33" s="61">
        <f t="shared" si="14"/>
        <v>51.689508506616292</v>
      </c>
      <c r="Q33" s="76">
        <f t="shared" si="15"/>
        <v>409.69899665551839</v>
      </c>
      <c r="R33" s="75">
        <f t="shared" si="16"/>
        <v>200</v>
      </c>
      <c r="S33" s="61">
        <f t="shared" si="17"/>
        <v>0</v>
      </c>
      <c r="T33" s="76">
        <f t="shared" si="18"/>
        <v>0</v>
      </c>
      <c r="U33" s="75">
        <f t="shared" si="19"/>
        <v>185.71428571428572</v>
      </c>
      <c r="W33" s="80">
        <f t="shared" si="20"/>
        <v>300</v>
      </c>
      <c r="X33" s="80">
        <f t="shared" si="20"/>
        <v>1500</v>
      </c>
      <c r="Y33" s="80">
        <f t="shared" si="20"/>
        <v>800</v>
      </c>
      <c r="Z33" s="105">
        <v>100</v>
      </c>
      <c r="AA33" s="106">
        <v>500</v>
      </c>
      <c r="AB33" s="107">
        <v>100</v>
      </c>
      <c r="AC33" s="108">
        <v>100</v>
      </c>
      <c r="AD33" s="106">
        <v>600</v>
      </c>
      <c r="AE33" s="107">
        <v>200</v>
      </c>
      <c r="AF33" s="108">
        <v>100</v>
      </c>
      <c r="AG33" s="106">
        <v>400</v>
      </c>
      <c r="AH33" s="107">
        <v>200</v>
      </c>
      <c r="AI33" s="108">
        <v>0</v>
      </c>
      <c r="AJ33" s="106">
        <v>0</v>
      </c>
      <c r="AK33" s="147">
        <v>300</v>
      </c>
    </row>
    <row r="34" spans="1:37" x14ac:dyDescent="0.35">
      <c r="A34" s="41" t="s">
        <v>20</v>
      </c>
      <c r="B34" s="42" t="s">
        <v>63</v>
      </c>
      <c r="C34" s="43" t="s">
        <v>15</v>
      </c>
      <c r="D34" s="71">
        <v>350</v>
      </c>
      <c r="E34" s="62">
        <v>350</v>
      </c>
      <c r="F34" s="72">
        <v>1680</v>
      </c>
      <c r="G34" s="80">
        <f t="shared" si="21"/>
        <v>463.13799621928172</v>
      </c>
      <c r="H34" s="125">
        <f t="shared" si="6"/>
        <v>760.86956521739125</v>
      </c>
      <c r="I34" s="163">
        <f t="shared" si="7"/>
        <v>2800</v>
      </c>
      <c r="J34" s="61">
        <f t="shared" si="8"/>
        <v>202.62287334593574</v>
      </c>
      <c r="K34" s="66">
        <f t="shared" si="9"/>
        <v>234.11371237458192</v>
      </c>
      <c r="L34" s="63">
        <f t="shared" si="10"/>
        <v>457.14285714285717</v>
      </c>
      <c r="M34" s="61">
        <f t="shared" si="11"/>
        <v>115.78449905482043</v>
      </c>
      <c r="N34" s="76">
        <f t="shared" si="12"/>
        <v>321.90635451505017</v>
      </c>
      <c r="O34" s="75">
        <f t="shared" si="13"/>
        <v>800</v>
      </c>
      <c r="P34" s="61">
        <f t="shared" si="14"/>
        <v>144.73062381852554</v>
      </c>
      <c r="Q34" s="76">
        <f t="shared" si="15"/>
        <v>204.84949832775919</v>
      </c>
      <c r="R34" s="75">
        <f t="shared" si="16"/>
        <v>800</v>
      </c>
      <c r="S34" s="61">
        <f t="shared" si="17"/>
        <v>0</v>
      </c>
      <c r="T34" s="76">
        <f t="shared" si="18"/>
        <v>0</v>
      </c>
      <c r="U34" s="75">
        <f t="shared" si="19"/>
        <v>742.85714285714289</v>
      </c>
      <c r="W34" s="80">
        <f>Z34+AC34+AF34+AI34</f>
        <v>500</v>
      </c>
      <c r="X34" s="80">
        <f t="shared" si="20"/>
        <v>800</v>
      </c>
      <c r="Y34" s="80">
        <f t="shared" si="20"/>
        <v>3400</v>
      </c>
      <c r="Z34" s="103">
        <v>200</v>
      </c>
      <c r="AA34" s="67">
        <v>300</v>
      </c>
      <c r="AB34" s="100">
        <v>500</v>
      </c>
      <c r="AC34" s="65">
        <v>100</v>
      </c>
      <c r="AD34" s="67">
        <v>300</v>
      </c>
      <c r="AE34" s="100">
        <v>1000</v>
      </c>
      <c r="AF34" s="65">
        <v>200</v>
      </c>
      <c r="AG34" s="67">
        <v>200</v>
      </c>
      <c r="AH34" s="100">
        <v>1000</v>
      </c>
      <c r="AI34" s="65">
        <v>0</v>
      </c>
      <c r="AJ34" s="67">
        <v>0</v>
      </c>
      <c r="AK34" s="102">
        <v>900</v>
      </c>
    </row>
    <row r="35" spans="1:37" x14ac:dyDescent="0.35">
      <c r="A35" s="41" t="s">
        <v>20</v>
      </c>
      <c r="B35" s="42" t="s">
        <v>63</v>
      </c>
      <c r="C35" s="43" t="s">
        <v>64</v>
      </c>
      <c r="D35" s="61">
        <v>350</v>
      </c>
      <c r="E35" s="66">
        <v>350</v>
      </c>
      <c r="F35" s="63">
        <v>840</v>
      </c>
      <c r="G35" s="80">
        <f t="shared" si="21"/>
        <v>463.13799621928172</v>
      </c>
      <c r="H35" s="125">
        <f t="shared" si="6"/>
        <v>760.86956521739125</v>
      </c>
      <c r="I35" s="163">
        <f t="shared" si="7"/>
        <v>1400</v>
      </c>
      <c r="J35" s="61">
        <f t="shared" si="8"/>
        <v>202.62287334593574</v>
      </c>
      <c r="K35" s="66">
        <f t="shared" si="9"/>
        <v>234.11371237458192</v>
      </c>
      <c r="L35" s="63">
        <f t="shared" si="10"/>
        <v>228.57142857142858</v>
      </c>
      <c r="M35" s="61">
        <f t="shared" si="11"/>
        <v>115.78449905482043</v>
      </c>
      <c r="N35" s="76">
        <f t="shared" si="12"/>
        <v>321.90635451505017</v>
      </c>
      <c r="O35" s="75">
        <f t="shared" si="13"/>
        <v>400</v>
      </c>
      <c r="P35" s="61">
        <f t="shared" si="14"/>
        <v>144.73062381852554</v>
      </c>
      <c r="Q35" s="76">
        <f t="shared" si="15"/>
        <v>204.84949832775919</v>
      </c>
      <c r="R35" s="75">
        <f t="shared" si="16"/>
        <v>400</v>
      </c>
      <c r="S35" s="61">
        <f t="shared" si="17"/>
        <v>0</v>
      </c>
      <c r="T35" s="76">
        <f t="shared" si="18"/>
        <v>0</v>
      </c>
      <c r="U35" s="75">
        <f t="shared" si="19"/>
        <v>371.42857142857144</v>
      </c>
      <c r="W35" s="80">
        <f t="shared" si="20"/>
        <v>500</v>
      </c>
      <c r="X35" s="80">
        <f t="shared" si="20"/>
        <v>800</v>
      </c>
      <c r="Y35" s="80">
        <f t="shared" si="20"/>
        <v>1700</v>
      </c>
      <c r="Z35" s="103">
        <v>200</v>
      </c>
      <c r="AA35" s="67">
        <v>300</v>
      </c>
      <c r="AB35" s="64">
        <v>300</v>
      </c>
      <c r="AC35" s="65">
        <v>100</v>
      </c>
      <c r="AD35" s="67">
        <v>300</v>
      </c>
      <c r="AE35" s="64">
        <v>500</v>
      </c>
      <c r="AF35" s="65">
        <v>200</v>
      </c>
      <c r="AG35" s="67">
        <v>200</v>
      </c>
      <c r="AH35" s="64">
        <v>500</v>
      </c>
      <c r="AI35" s="65">
        <v>0</v>
      </c>
      <c r="AJ35" s="67">
        <v>0</v>
      </c>
      <c r="AK35" s="104">
        <v>400</v>
      </c>
    </row>
    <row r="36" spans="1:37" ht="18.600000000000001" thickBot="1" x14ac:dyDescent="0.4">
      <c r="A36" s="41" t="s">
        <v>20</v>
      </c>
      <c r="B36" s="42" t="s">
        <v>63</v>
      </c>
      <c r="C36" s="43" t="s">
        <v>17</v>
      </c>
      <c r="D36" s="68">
        <v>350</v>
      </c>
      <c r="E36" s="69">
        <v>350</v>
      </c>
      <c r="F36" s="70">
        <v>420</v>
      </c>
      <c r="G36" s="80">
        <f t="shared" si="21"/>
        <v>463.13799621928172</v>
      </c>
      <c r="H36" s="125">
        <f t="shared" si="6"/>
        <v>760.86956521739125</v>
      </c>
      <c r="I36" s="163">
        <f t="shared" si="7"/>
        <v>700</v>
      </c>
      <c r="J36" s="61">
        <f t="shared" si="8"/>
        <v>202.62287334593574</v>
      </c>
      <c r="K36" s="66">
        <f t="shared" si="9"/>
        <v>234.11371237458192</v>
      </c>
      <c r="L36" s="63">
        <f t="shared" si="10"/>
        <v>114.28571428571429</v>
      </c>
      <c r="M36" s="61">
        <f t="shared" si="11"/>
        <v>115.78449905482043</v>
      </c>
      <c r="N36" s="76">
        <f t="shared" si="12"/>
        <v>321.90635451505017</v>
      </c>
      <c r="O36" s="75">
        <f t="shared" si="13"/>
        <v>200</v>
      </c>
      <c r="P36" s="61">
        <f t="shared" si="14"/>
        <v>144.73062381852554</v>
      </c>
      <c r="Q36" s="76">
        <f t="shared" si="15"/>
        <v>204.84949832775919</v>
      </c>
      <c r="R36" s="75">
        <f t="shared" si="16"/>
        <v>200</v>
      </c>
      <c r="S36" s="61">
        <f t="shared" si="17"/>
        <v>0</v>
      </c>
      <c r="T36" s="76">
        <f t="shared" si="18"/>
        <v>0</v>
      </c>
      <c r="U36" s="75">
        <f t="shared" si="19"/>
        <v>185.71428571428572</v>
      </c>
      <c r="W36" s="80">
        <f t="shared" si="20"/>
        <v>500</v>
      </c>
      <c r="X36" s="80">
        <f t="shared" si="20"/>
        <v>800</v>
      </c>
      <c r="Y36" s="80">
        <f t="shared" si="20"/>
        <v>800</v>
      </c>
      <c r="Z36" s="103">
        <v>200</v>
      </c>
      <c r="AA36" s="67">
        <v>300</v>
      </c>
      <c r="AB36" s="107">
        <v>100</v>
      </c>
      <c r="AC36" s="65">
        <v>100</v>
      </c>
      <c r="AD36" s="67">
        <v>300</v>
      </c>
      <c r="AE36" s="107">
        <v>200</v>
      </c>
      <c r="AF36" s="65">
        <v>200</v>
      </c>
      <c r="AG36" s="67">
        <v>200</v>
      </c>
      <c r="AH36" s="107">
        <v>200</v>
      </c>
      <c r="AI36" s="65">
        <v>0</v>
      </c>
      <c r="AJ36" s="67">
        <v>0</v>
      </c>
      <c r="AK36" s="147">
        <v>300</v>
      </c>
    </row>
    <row r="37" spans="1:37" x14ac:dyDescent="0.35">
      <c r="A37" s="44" t="s">
        <v>20</v>
      </c>
      <c r="B37" s="45" t="s">
        <v>18</v>
      </c>
      <c r="C37" s="46" t="s">
        <v>15</v>
      </c>
      <c r="D37" s="71">
        <v>350</v>
      </c>
      <c r="E37" s="66">
        <v>175</v>
      </c>
      <c r="F37" s="63">
        <v>1680</v>
      </c>
      <c r="G37" s="80">
        <f t="shared" si="21"/>
        <v>612.00378071833654</v>
      </c>
      <c r="H37" s="125">
        <f t="shared" si="6"/>
        <v>380.43478260869563</v>
      </c>
      <c r="I37" s="163">
        <f t="shared" si="7"/>
        <v>2800</v>
      </c>
      <c r="J37" s="61">
        <f t="shared" si="8"/>
        <v>267.75165406427226</v>
      </c>
      <c r="K37" s="66">
        <f t="shared" si="9"/>
        <v>117.05685618729096</v>
      </c>
      <c r="L37" s="63">
        <f t="shared" si="10"/>
        <v>457.14285714285717</v>
      </c>
      <c r="M37" s="61">
        <f t="shared" si="11"/>
        <v>153.00094517958414</v>
      </c>
      <c r="N37" s="76">
        <f t="shared" si="12"/>
        <v>160.95317725752508</v>
      </c>
      <c r="O37" s="75">
        <f t="shared" si="13"/>
        <v>800</v>
      </c>
      <c r="P37" s="61">
        <f t="shared" si="14"/>
        <v>191.25118147448018</v>
      </c>
      <c r="Q37" s="76">
        <f t="shared" si="15"/>
        <v>102.4247491638796</v>
      </c>
      <c r="R37" s="75">
        <f t="shared" si="16"/>
        <v>800</v>
      </c>
      <c r="S37" s="61">
        <f t="shared" si="17"/>
        <v>0</v>
      </c>
      <c r="T37" s="76">
        <f t="shared" si="18"/>
        <v>0</v>
      </c>
      <c r="U37" s="75">
        <f t="shared" si="19"/>
        <v>742.85714285714289</v>
      </c>
      <c r="W37" s="80">
        <f>Z37+AC37+AF37+AI37</f>
        <v>700</v>
      </c>
      <c r="X37" s="80">
        <f t="shared" si="20"/>
        <v>400</v>
      </c>
      <c r="Y37" s="80">
        <f t="shared" si="20"/>
        <v>3400</v>
      </c>
      <c r="Z37" s="98">
        <v>300</v>
      </c>
      <c r="AA37" s="99">
        <v>100</v>
      </c>
      <c r="AB37" s="100">
        <v>500</v>
      </c>
      <c r="AC37" s="101">
        <v>200</v>
      </c>
      <c r="AD37" s="99">
        <v>200</v>
      </c>
      <c r="AE37" s="100">
        <v>1000</v>
      </c>
      <c r="AF37" s="101">
        <v>200</v>
      </c>
      <c r="AG37" s="99">
        <v>100</v>
      </c>
      <c r="AH37" s="100">
        <v>1000</v>
      </c>
      <c r="AI37" s="101">
        <v>0</v>
      </c>
      <c r="AJ37" s="99">
        <v>0</v>
      </c>
      <c r="AK37" s="102">
        <v>900</v>
      </c>
    </row>
    <row r="38" spans="1:37" x14ac:dyDescent="0.35">
      <c r="A38" s="44" t="s">
        <v>20</v>
      </c>
      <c r="B38" s="45" t="s">
        <v>18</v>
      </c>
      <c r="C38" s="46" t="s">
        <v>64</v>
      </c>
      <c r="D38" s="61">
        <v>350</v>
      </c>
      <c r="E38" s="66">
        <v>175</v>
      </c>
      <c r="F38" s="63">
        <v>840</v>
      </c>
      <c r="G38" s="80">
        <f t="shared" si="21"/>
        <v>612.00378071833654</v>
      </c>
      <c r="H38" s="125">
        <f t="shared" si="6"/>
        <v>380.43478260869563</v>
      </c>
      <c r="I38" s="163">
        <f t="shared" si="7"/>
        <v>1400</v>
      </c>
      <c r="J38" s="61">
        <f t="shared" si="8"/>
        <v>267.75165406427226</v>
      </c>
      <c r="K38" s="66">
        <f t="shared" si="9"/>
        <v>117.05685618729096</v>
      </c>
      <c r="L38" s="63">
        <f t="shared" si="10"/>
        <v>228.57142857142858</v>
      </c>
      <c r="M38" s="61">
        <f t="shared" si="11"/>
        <v>153.00094517958414</v>
      </c>
      <c r="N38" s="76">
        <f t="shared" si="12"/>
        <v>160.95317725752508</v>
      </c>
      <c r="O38" s="75">
        <f t="shared" si="13"/>
        <v>400</v>
      </c>
      <c r="P38" s="61">
        <f t="shared" si="14"/>
        <v>191.25118147448018</v>
      </c>
      <c r="Q38" s="76">
        <f t="shared" si="15"/>
        <v>102.4247491638796</v>
      </c>
      <c r="R38" s="75">
        <f t="shared" si="16"/>
        <v>400</v>
      </c>
      <c r="S38" s="61">
        <f t="shared" si="17"/>
        <v>0</v>
      </c>
      <c r="T38" s="76">
        <f t="shared" si="18"/>
        <v>0</v>
      </c>
      <c r="U38" s="75">
        <f t="shared" si="19"/>
        <v>371.42857142857144</v>
      </c>
      <c r="W38" s="80">
        <f t="shared" si="20"/>
        <v>700</v>
      </c>
      <c r="X38" s="80">
        <f t="shared" si="20"/>
        <v>400</v>
      </c>
      <c r="Y38" s="80">
        <f t="shared" si="20"/>
        <v>1700</v>
      </c>
      <c r="Z38" s="103">
        <v>300</v>
      </c>
      <c r="AA38" s="67">
        <v>100</v>
      </c>
      <c r="AB38" s="64">
        <v>300</v>
      </c>
      <c r="AC38" s="65">
        <v>200</v>
      </c>
      <c r="AD38" s="67">
        <v>200</v>
      </c>
      <c r="AE38" s="64">
        <v>500</v>
      </c>
      <c r="AF38" s="65">
        <v>200</v>
      </c>
      <c r="AG38" s="67">
        <v>100</v>
      </c>
      <c r="AH38" s="64">
        <v>500</v>
      </c>
      <c r="AI38" s="65">
        <v>0</v>
      </c>
      <c r="AJ38" s="67">
        <v>0</v>
      </c>
      <c r="AK38" s="104">
        <v>400</v>
      </c>
    </row>
    <row r="39" spans="1:37" ht="18.600000000000001" thickBot="1" x14ac:dyDescent="0.4">
      <c r="A39" s="47" t="s">
        <v>20</v>
      </c>
      <c r="B39" s="48" t="s">
        <v>18</v>
      </c>
      <c r="C39" s="49" t="s">
        <v>17</v>
      </c>
      <c r="D39" s="68">
        <v>350</v>
      </c>
      <c r="E39" s="69">
        <v>175</v>
      </c>
      <c r="F39" s="70">
        <v>420</v>
      </c>
      <c r="G39" s="126">
        <f t="shared" si="21"/>
        <v>612.00378071833654</v>
      </c>
      <c r="H39" s="127">
        <f t="shared" si="6"/>
        <v>380.43478260869563</v>
      </c>
      <c r="I39" s="163">
        <f t="shared" si="7"/>
        <v>700</v>
      </c>
      <c r="J39" s="68">
        <f t="shared" si="8"/>
        <v>267.75165406427226</v>
      </c>
      <c r="K39" s="69">
        <f t="shared" si="9"/>
        <v>117.05685618729096</v>
      </c>
      <c r="L39" s="70">
        <f t="shared" si="10"/>
        <v>114.28571428571429</v>
      </c>
      <c r="M39" s="68">
        <f t="shared" si="11"/>
        <v>153.00094517958414</v>
      </c>
      <c r="N39" s="78">
        <f t="shared" si="12"/>
        <v>160.95317725752508</v>
      </c>
      <c r="O39" s="79">
        <f t="shared" si="13"/>
        <v>200</v>
      </c>
      <c r="P39" s="68">
        <f t="shared" si="14"/>
        <v>191.25118147448018</v>
      </c>
      <c r="Q39" s="78">
        <f t="shared" si="15"/>
        <v>102.4247491638796</v>
      </c>
      <c r="R39" s="79">
        <f t="shared" si="16"/>
        <v>200</v>
      </c>
      <c r="S39" s="68">
        <f t="shared" si="17"/>
        <v>0</v>
      </c>
      <c r="T39" s="78">
        <f t="shared" si="18"/>
        <v>0</v>
      </c>
      <c r="U39" s="79">
        <f t="shared" si="19"/>
        <v>185.71428571428572</v>
      </c>
      <c r="W39" s="80">
        <f t="shared" si="20"/>
        <v>700</v>
      </c>
      <c r="X39" s="80">
        <f t="shared" si="20"/>
        <v>400</v>
      </c>
      <c r="Y39" s="80">
        <f t="shared" si="20"/>
        <v>800</v>
      </c>
      <c r="Z39" s="105">
        <v>300</v>
      </c>
      <c r="AA39" s="106">
        <v>100</v>
      </c>
      <c r="AB39" s="107">
        <v>100</v>
      </c>
      <c r="AC39" s="108">
        <v>200</v>
      </c>
      <c r="AD39" s="106">
        <v>200</v>
      </c>
      <c r="AE39" s="107">
        <v>200</v>
      </c>
      <c r="AF39" s="108">
        <v>200</v>
      </c>
      <c r="AG39" s="106">
        <v>100</v>
      </c>
      <c r="AH39" s="107">
        <v>200</v>
      </c>
      <c r="AI39" s="108">
        <v>0</v>
      </c>
      <c r="AJ39" s="106">
        <v>0</v>
      </c>
      <c r="AK39" s="147">
        <v>300</v>
      </c>
    </row>
    <row r="40" spans="1:37" x14ac:dyDescent="0.35">
      <c r="L40" s="51"/>
    </row>
  </sheetData>
  <mergeCells count="21">
    <mergeCell ref="AI11:AK11"/>
    <mergeCell ref="P3:R3"/>
    <mergeCell ref="S3:U3"/>
    <mergeCell ref="Z11:AB11"/>
    <mergeCell ref="AC11:AE11"/>
    <mergeCell ref="AF11:AH11"/>
    <mergeCell ref="D4:F4"/>
    <mergeCell ref="G4:I4"/>
    <mergeCell ref="D1:I1"/>
    <mergeCell ref="J1:L1"/>
    <mergeCell ref="M1:O1"/>
    <mergeCell ref="G3:I3"/>
    <mergeCell ref="J3:L3"/>
    <mergeCell ref="M3:O3"/>
    <mergeCell ref="P1:R1"/>
    <mergeCell ref="S1:U1"/>
    <mergeCell ref="D2:I2"/>
    <mergeCell ref="J2:L2"/>
    <mergeCell ref="M2:O2"/>
    <mergeCell ref="P2:R2"/>
    <mergeCell ref="S2:U2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6F372-F030-4F58-A1CB-691EEE033835}">
  <sheetPr>
    <tabColor rgb="FFCCFFCC"/>
  </sheetPr>
  <dimension ref="A1:AK40"/>
  <sheetViews>
    <sheetView zoomScale="70" zoomScaleNormal="70" workbookViewId="0">
      <selection activeCell="I5" sqref="I5"/>
    </sheetView>
  </sheetViews>
  <sheetFormatPr defaultRowHeight="18" x14ac:dyDescent="0.35"/>
  <cols>
    <col min="1" max="1" width="6.109375" style="3" customWidth="1"/>
    <col min="2" max="2" width="7.5546875" style="3" customWidth="1"/>
    <col min="3" max="3" width="5.88671875" style="3" customWidth="1"/>
    <col min="4" max="4" width="6.77734375" style="3" customWidth="1"/>
    <col min="5" max="5" width="6.5546875" style="3" customWidth="1"/>
    <col min="6" max="6" width="7.21875" style="3" customWidth="1"/>
    <col min="7" max="7" width="6" style="3" bestFit="1" customWidth="1"/>
    <col min="8" max="8" width="7" style="3" bestFit="1" customWidth="1"/>
    <col min="9" max="10" width="6" style="3" bestFit="1" customWidth="1"/>
    <col min="11" max="11" width="7" style="3" bestFit="1" customWidth="1"/>
    <col min="12" max="13" width="6" style="3" bestFit="1" customWidth="1"/>
    <col min="14" max="14" width="7" style="3" bestFit="1" customWidth="1"/>
    <col min="15" max="16" width="6" style="3" bestFit="1" customWidth="1"/>
    <col min="17" max="17" width="7" style="3" bestFit="1" customWidth="1"/>
    <col min="18" max="19" width="6" style="3" bestFit="1" customWidth="1"/>
    <col min="20" max="20" width="7" style="3" bestFit="1" customWidth="1"/>
    <col min="21" max="21" width="6" style="3" bestFit="1" customWidth="1"/>
    <col min="22" max="16384" width="8.88671875" style="3"/>
  </cols>
  <sheetData>
    <row r="1" spans="1:37" ht="15" customHeight="1" x14ac:dyDescent="0.35">
      <c r="A1" s="1" t="s">
        <v>0</v>
      </c>
      <c r="B1" s="1" t="s">
        <v>2</v>
      </c>
      <c r="C1" s="2" t="s">
        <v>4</v>
      </c>
      <c r="D1" s="153" t="s">
        <v>5</v>
      </c>
      <c r="E1" s="153"/>
      <c r="F1" s="153"/>
      <c r="G1" s="153"/>
      <c r="H1" s="153"/>
      <c r="I1" s="154"/>
      <c r="J1" s="152" t="s">
        <v>21</v>
      </c>
      <c r="K1" s="153"/>
      <c r="L1" s="154"/>
      <c r="M1" s="152" t="s">
        <v>24</v>
      </c>
      <c r="N1" s="153"/>
      <c r="O1" s="154"/>
      <c r="P1" s="152" t="s">
        <v>26</v>
      </c>
      <c r="Q1" s="153"/>
      <c r="R1" s="154"/>
      <c r="S1" s="152" t="s">
        <v>28</v>
      </c>
      <c r="T1" s="153"/>
      <c r="U1" s="154"/>
    </row>
    <row r="2" spans="1:37" ht="18.600000000000001" thickBot="1" x14ac:dyDescent="0.4">
      <c r="A2" s="4" t="s">
        <v>1</v>
      </c>
      <c r="B2" s="4" t="s">
        <v>3</v>
      </c>
      <c r="C2" s="5" t="s">
        <v>3</v>
      </c>
      <c r="D2" s="159" t="s">
        <v>6</v>
      </c>
      <c r="E2" s="159"/>
      <c r="F2" s="159"/>
      <c r="G2" s="159"/>
      <c r="H2" s="159"/>
      <c r="I2" s="160"/>
      <c r="J2" s="158" t="s">
        <v>22</v>
      </c>
      <c r="K2" s="159"/>
      <c r="L2" s="160"/>
      <c r="M2" s="158" t="s">
        <v>25</v>
      </c>
      <c r="N2" s="159"/>
      <c r="O2" s="160"/>
      <c r="P2" s="158" t="s">
        <v>27</v>
      </c>
      <c r="Q2" s="159"/>
      <c r="R2" s="160"/>
      <c r="S2" s="158" t="s">
        <v>29</v>
      </c>
      <c r="T2" s="159"/>
      <c r="U2" s="160"/>
    </row>
    <row r="3" spans="1:37" ht="18.600000000000001" thickBot="1" x14ac:dyDescent="0.4">
      <c r="A3" s="6"/>
      <c r="B3" s="6"/>
      <c r="C3" s="7"/>
      <c r="D3" s="8" t="s">
        <v>30</v>
      </c>
      <c r="E3" s="9"/>
      <c r="F3" s="10"/>
      <c r="G3" s="155" t="s">
        <v>32</v>
      </c>
      <c r="H3" s="156"/>
      <c r="I3" s="157"/>
      <c r="J3" s="158" t="s">
        <v>23</v>
      </c>
      <c r="K3" s="159"/>
      <c r="L3" s="160"/>
      <c r="M3" s="158" t="s">
        <v>23</v>
      </c>
      <c r="N3" s="159"/>
      <c r="O3" s="160"/>
      <c r="P3" s="158" t="s">
        <v>23</v>
      </c>
      <c r="Q3" s="159"/>
      <c r="R3" s="160"/>
      <c r="S3" s="158" t="s">
        <v>23</v>
      </c>
      <c r="T3" s="159"/>
      <c r="U3" s="160"/>
    </row>
    <row r="4" spans="1:37" ht="18.600000000000001" thickBot="1" x14ac:dyDescent="0.4">
      <c r="A4" s="6"/>
      <c r="B4" s="6"/>
      <c r="C4" s="7"/>
      <c r="D4" s="155" t="s">
        <v>31</v>
      </c>
      <c r="E4" s="156"/>
      <c r="F4" s="157"/>
      <c r="G4" s="155" t="s">
        <v>31</v>
      </c>
      <c r="H4" s="156"/>
      <c r="I4" s="157"/>
      <c r="J4" s="4"/>
      <c r="K4" s="11"/>
      <c r="L4" s="12"/>
      <c r="M4" s="4"/>
      <c r="N4" s="11"/>
      <c r="O4" s="12"/>
      <c r="P4" s="4"/>
      <c r="Q4" s="11"/>
      <c r="R4" s="12"/>
      <c r="S4" s="4"/>
      <c r="T4" s="11"/>
      <c r="U4" s="12"/>
    </row>
    <row r="5" spans="1:37" ht="18.600000000000001" thickBot="1" x14ac:dyDescent="0.4">
      <c r="A5" s="13"/>
      <c r="B5" s="13"/>
      <c r="C5" s="14"/>
      <c r="D5" s="15" t="s">
        <v>7</v>
      </c>
      <c r="E5" s="15" t="s">
        <v>8</v>
      </c>
      <c r="F5" s="15" t="s">
        <v>9</v>
      </c>
      <c r="G5" s="16" t="s">
        <v>10</v>
      </c>
      <c r="H5" s="15" t="s">
        <v>11</v>
      </c>
      <c r="I5" s="162" t="s">
        <v>47</v>
      </c>
      <c r="J5" s="18" t="s">
        <v>10</v>
      </c>
      <c r="K5" s="15" t="s">
        <v>11</v>
      </c>
      <c r="L5" s="162" t="s">
        <v>47</v>
      </c>
      <c r="M5" s="18" t="s">
        <v>10</v>
      </c>
      <c r="N5" s="15" t="s">
        <v>11</v>
      </c>
      <c r="O5" s="162" t="s">
        <v>47</v>
      </c>
      <c r="P5" s="18" t="s">
        <v>10</v>
      </c>
      <c r="Q5" s="15" t="s">
        <v>11</v>
      </c>
      <c r="R5" s="162" t="s">
        <v>47</v>
      </c>
      <c r="S5" s="18" t="s">
        <v>10</v>
      </c>
      <c r="T5" s="15" t="s">
        <v>11</v>
      </c>
      <c r="U5" s="162" t="s">
        <v>47</v>
      </c>
    </row>
    <row r="6" spans="1:37" ht="18.600000000000001" thickBot="1" x14ac:dyDescent="0.4">
      <c r="A6" s="13"/>
      <c r="B6" s="13" t="s">
        <v>33</v>
      </c>
      <c r="C6" s="50"/>
      <c r="D6" s="52">
        <v>75</v>
      </c>
      <c r="E6" s="52">
        <v>50</v>
      </c>
      <c r="F6" s="52">
        <v>75</v>
      </c>
      <c r="G6" s="53"/>
      <c r="H6" s="60">
        <f>0.15*400</f>
        <v>60</v>
      </c>
      <c r="I6" s="17"/>
      <c r="J6" s="18">
        <v>320</v>
      </c>
      <c r="K6" s="52">
        <v>160</v>
      </c>
      <c r="L6" s="19">
        <v>160</v>
      </c>
      <c r="M6" s="18">
        <v>160</v>
      </c>
      <c r="N6" s="52">
        <v>160</v>
      </c>
      <c r="O6" s="19">
        <v>320</v>
      </c>
      <c r="P6" s="18">
        <v>200</v>
      </c>
      <c r="Q6" s="52">
        <v>200</v>
      </c>
      <c r="R6" s="19">
        <v>200</v>
      </c>
      <c r="S6" s="18">
        <v>0</v>
      </c>
      <c r="T6" s="52">
        <v>0</v>
      </c>
      <c r="U6" s="19">
        <v>250</v>
      </c>
    </row>
    <row r="7" spans="1:37" ht="18.600000000000001" thickBot="1" x14ac:dyDescent="0.4">
      <c r="A7" s="13"/>
      <c r="B7" s="13"/>
      <c r="C7" s="50"/>
      <c r="D7" s="55">
        <f>SUM(J7,M7,P7,S7)</f>
        <v>3.4000000000000004</v>
      </c>
      <c r="E7" s="55">
        <f>SUM(K7,N7,Q7,T7)</f>
        <v>2.6</v>
      </c>
      <c r="F7" s="55">
        <f>SUM(L7,O7,R7,U7)</f>
        <v>4.6500000000000004</v>
      </c>
      <c r="G7" s="54">
        <f>AVERAGE(D7,D10)</f>
        <v>3.6500000000000004</v>
      </c>
      <c r="H7" s="55">
        <f>AVERAGE(E7,E10)</f>
        <v>3.1375000000000002</v>
      </c>
      <c r="I7" s="56">
        <f t="shared" ref="I7" si="0">AVERAGE(F7,F10)</f>
        <v>5.4250000000000007</v>
      </c>
      <c r="J7" s="82">
        <f>J6/200</f>
        <v>1.6</v>
      </c>
      <c r="K7" s="83">
        <f t="shared" ref="K7:U7" si="1">K6/200</f>
        <v>0.8</v>
      </c>
      <c r="L7" s="84">
        <f t="shared" si="1"/>
        <v>0.8</v>
      </c>
      <c r="M7" s="82">
        <f t="shared" si="1"/>
        <v>0.8</v>
      </c>
      <c r="N7" s="83">
        <f t="shared" si="1"/>
        <v>0.8</v>
      </c>
      <c r="O7" s="84">
        <f t="shared" si="1"/>
        <v>1.6</v>
      </c>
      <c r="P7" s="82">
        <f t="shared" si="1"/>
        <v>1</v>
      </c>
      <c r="Q7" s="83">
        <f t="shared" si="1"/>
        <v>1</v>
      </c>
      <c r="R7" s="84">
        <f t="shared" si="1"/>
        <v>1</v>
      </c>
      <c r="S7" s="82">
        <f t="shared" si="1"/>
        <v>0</v>
      </c>
      <c r="T7" s="83">
        <f t="shared" si="1"/>
        <v>0</v>
      </c>
      <c r="U7" s="84">
        <f t="shared" si="1"/>
        <v>1.25</v>
      </c>
    </row>
    <row r="8" spans="1:37" ht="18.600000000000001" thickBot="1" x14ac:dyDescent="0.4">
      <c r="A8" s="13"/>
      <c r="B8" s="13"/>
      <c r="C8" s="50"/>
      <c r="D8" s="55">
        <f>SUM(J8,M8,P8,S8)</f>
        <v>4</v>
      </c>
      <c r="E8" s="52">
        <f t="shared" ref="E8:F8" si="2">SUM(K8,N8,Q8,T8)</f>
        <v>3</v>
      </c>
      <c r="F8" s="52">
        <f t="shared" si="2"/>
        <v>7</v>
      </c>
      <c r="G8" s="54"/>
      <c r="H8" s="55"/>
      <c r="I8" s="56"/>
      <c r="J8" s="57">
        <v>2</v>
      </c>
      <c r="K8" s="55">
        <v>1</v>
      </c>
      <c r="L8" s="58">
        <v>2</v>
      </c>
      <c r="M8" s="57">
        <v>1</v>
      </c>
      <c r="N8" s="55">
        <v>1</v>
      </c>
      <c r="O8" s="58">
        <v>2</v>
      </c>
      <c r="P8" s="57">
        <v>1</v>
      </c>
      <c r="Q8" s="55">
        <v>1</v>
      </c>
      <c r="R8" s="58">
        <v>2</v>
      </c>
      <c r="S8" s="57">
        <v>0</v>
      </c>
      <c r="T8" s="55">
        <v>0</v>
      </c>
      <c r="U8" s="58">
        <v>1</v>
      </c>
    </row>
    <row r="9" spans="1:37" ht="18.600000000000001" thickBot="1" x14ac:dyDescent="0.4">
      <c r="A9" s="13"/>
      <c r="B9" s="13" t="s">
        <v>34</v>
      </c>
      <c r="C9" s="50"/>
      <c r="D9" s="52">
        <v>120</v>
      </c>
      <c r="E9" s="52">
        <v>75</v>
      </c>
      <c r="F9" s="52">
        <v>100</v>
      </c>
      <c r="G9" s="59">
        <f>0.2*500</f>
        <v>100</v>
      </c>
      <c r="H9" s="60">
        <f>0.1*500</f>
        <v>50</v>
      </c>
      <c r="I9" s="17"/>
      <c r="J9" s="18">
        <v>320</v>
      </c>
      <c r="K9" s="52">
        <v>160</v>
      </c>
      <c r="L9" s="19">
        <v>320</v>
      </c>
      <c r="M9" s="18">
        <v>160</v>
      </c>
      <c r="N9" s="52">
        <v>275</v>
      </c>
      <c r="O9" s="19">
        <v>320</v>
      </c>
      <c r="P9" s="18">
        <v>300</v>
      </c>
      <c r="Q9" s="52">
        <v>300</v>
      </c>
      <c r="R9" s="19">
        <v>300</v>
      </c>
      <c r="S9" s="18">
        <v>0</v>
      </c>
      <c r="T9" s="52">
        <v>0</v>
      </c>
      <c r="U9" s="19">
        <v>300</v>
      </c>
    </row>
    <row r="10" spans="1:37" ht="18.600000000000001" thickBot="1" x14ac:dyDescent="0.4">
      <c r="A10" s="13"/>
      <c r="B10" s="13"/>
      <c r="C10" s="50"/>
      <c r="D10" s="55">
        <f>SUM(J10,M10,P10,S10)</f>
        <v>3.9000000000000004</v>
      </c>
      <c r="E10" s="55">
        <f>SUM(K10,N10,Q10,T10)</f>
        <v>3.6749999999999998</v>
      </c>
      <c r="F10" s="55">
        <f>SUM(L10,O10,R10,U10)</f>
        <v>6.2</v>
      </c>
      <c r="G10" s="86">
        <f>AVERAGE(D8,D11)</f>
        <v>4.5</v>
      </c>
      <c r="H10" s="86">
        <f>AVERAGE(E8,E11)</f>
        <v>3.5</v>
      </c>
      <c r="I10" s="87">
        <f>AVERAGE(F8,F11)</f>
        <v>7.5</v>
      </c>
      <c r="J10" s="82">
        <f t="shared" ref="J10:U10" si="3">J9/200</f>
        <v>1.6</v>
      </c>
      <c r="K10" s="83">
        <f t="shared" si="3"/>
        <v>0.8</v>
      </c>
      <c r="L10" s="84">
        <f t="shared" si="3"/>
        <v>1.6</v>
      </c>
      <c r="M10" s="82">
        <f t="shared" si="3"/>
        <v>0.8</v>
      </c>
      <c r="N10" s="83">
        <f t="shared" si="3"/>
        <v>1.375</v>
      </c>
      <c r="O10" s="84">
        <f t="shared" si="3"/>
        <v>1.6</v>
      </c>
      <c r="P10" s="82">
        <f>P9/200</f>
        <v>1.5</v>
      </c>
      <c r="Q10" s="83">
        <f t="shared" si="3"/>
        <v>1.5</v>
      </c>
      <c r="R10" s="84">
        <f t="shared" si="3"/>
        <v>1.5</v>
      </c>
      <c r="S10" s="82">
        <f t="shared" si="3"/>
        <v>0</v>
      </c>
      <c r="T10" s="83">
        <f t="shared" si="3"/>
        <v>0</v>
      </c>
      <c r="U10" s="84">
        <f t="shared" si="3"/>
        <v>1.5</v>
      </c>
    </row>
    <row r="11" spans="1:37" ht="18.600000000000001" thickBot="1" x14ac:dyDescent="0.4">
      <c r="A11" s="13"/>
      <c r="B11" s="13"/>
      <c r="C11" s="50"/>
      <c r="D11" s="55">
        <f>SUM(J11,M11,P11,S11)</f>
        <v>5</v>
      </c>
      <c r="E11" s="52">
        <f t="shared" ref="E11:F11" si="4">SUM(K11,N11,Q11,T11)</f>
        <v>4</v>
      </c>
      <c r="F11" s="52">
        <f t="shared" si="4"/>
        <v>8</v>
      </c>
      <c r="G11" s="54"/>
      <c r="H11" s="55"/>
      <c r="I11" s="56"/>
      <c r="J11" s="57">
        <v>2</v>
      </c>
      <c r="K11" s="55">
        <v>1</v>
      </c>
      <c r="L11" s="58">
        <v>2</v>
      </c>
      <c r="M11" s="57">
        <v>1</v>
      </c>
      <c r="N11" s="55">
        <v>2</v>
      </c>
      <c r="O11" s="58">
        <v>2</v>
      </c>
      <c r="P11" s="57">
        <v>2</v>
      </c>
      <c r="Q11" s="55">
        <v>1</v>
      </c>
      <c r="R11" s="58">
        <v>2</v>
      </c>
      <c r="S11" s="57">
        <v>0</v>
      </c>
      <c r="T11" s="55">
        <v>0</v>
      </c>
      <c r="U11" s="58">
        <v>2</v>
      </c>
      <c r="W11" s="24" t="s">
        <v>61</v>
      </c>
      <c r="X11" s="24"/>
      <c r="Y11" s="24"/>
      <c r="Z11" s="152" t="s">
        <v>36</v>
      </c>
      <c r="AA11" s="153"/>
      <c r="AB11" s="154"/>
      <c r="AC11" s="152" t="s">
        <v>37</v>
      </c>
      <c r="AD11" s="153"/>
      <c r="AE11" s="154"/>
      <c r="AF11" s="152" t="s">
        <v>39</v>
      </c>
      <c r="AG11" s="153"/>
      <c r="AH11" s="154"/>
      <c r="AI11" s="152" t="s">
        <v>38</v>
      </c>
      <c r="AJ11" s="153"/>
      <c r="AK11" s="154"/>
    </row>
    <row r="12" spans="1:37" ht="18.600000000000001" thickBot="1" x14ac:dyDescent="0.4">
      <c r="A12" s="20"/>
      <c r="B12" s="88" t="s">
        <v>35</v>
      </c>
      <c r="C12" s="81"/>
      <c r="D12" s="81"/>
      <c r="E12" s="81"/>
      <c r="F12" s="81"/>
      <c r="G12" s="86">
        <f>SUM(J12,M12,P12,S12)</f>
        <v>4</v>
      </c>
      <c r="H12" s="86">
        <f>SUM(K12,N12,Q12,T12)</f>
        <v>3</v>
      </c>
      <c r="I12" s="85">
        <f>SUM(L12,O12,R12,U12)</f>
        <v>6.5</v>
      </c>
      <c r="J12" s="97">
        <f>AVERAGE(J8,J11)</f>
        <v>2</v>
      </c>
      <c r="K12" s="89">
        <f>AVERAGE(K8,K11)</f>
        <v>1</v>
      </c>
      <c r="L12" s="112">
        <v>1</v>
      </c>
      <c r="M12" s="91">
        <f>AVERAGE(M8,M11)</f>
        <v>1</v>
      </c>
      <c r="N12" s="113">
        <v>1</v>
      </c>
      <c r="O12" s="92">
        <f>AVERAGE(O8,O11)</f>
        <v>2</v>
      </c>
      <c r="P12" s="129">
        <v>1</v>
      </c>
      <c r="Q12" s="86">
        <f>AVERAGE(Q8,Q11)</f>
        <v>1</v>
      </c>
      <c r="R12" s="87">
        <f>AVERAGE(R8,R11)</f>
        <v>2</v>
      </c>
      <c r="S12" s="94">
        <f t="shared" ref="S12:U12" si="5">AVERAGE(S8,S11)</f>
        <v>0</v>
      </c>
      <c r="T12" s="95">
        <f t="shared" si="5"/>
        <v>0</v>
      </c>
      <c r="U12" s="96">
        <f t="shared" si="5"/>
        <v>1.5</v>
      </c>
      <c r="Z12" s="110" t="s">
        <v>10</v>
      </c>
      <c r="AA12" s="110" t="s">
        <v>11</v>
      </c>
      <c r="AB12" s="162" t="s">
        <v>47</v>
      </c>
      <c r="AC12" s="110" t="s">
        <v>10</v>
      </c>
      <c r="AD12" s="110" t="s">
        <v>11</v>
      </c>
      <c r="AE12" s="162" t="s">
        <v>47</v>
      </c>
      <c r="AF12" s="110" t="s">
        <v>10</v>
      </c>
      <c r="AG12" s="110" t="s">
        <v>11</v>
      </c>
      <c r="AH12" s="162" t="s">
        <v>47</v>
      </c>
      <c r="AI12" s="110" t="s">
        <v>10</v>
      </c>
      <c r="AJ12" s="110" t="s">
        <v>11</v>
      </c>
      <c r="AK12" s="162" t="s">
        <v>47</v>
      </c>
    </row>
    <row r="13" spans="1:37" x14ac:dyDescent="0.35">
      <c r="A13" s="21" t="s">
        <v>13</v>
      </c>
      <c r="B13" s="22" t="s">
        <v>14</v>
      </c>
      <c r="C13" s="21" t="s">
        <v>15</v>
      </c>
      <c r="D13" s="61">
        <v>1680</v>
      </c>
      <c r="E13" s="62">
        <v>560</v>
      </c>
      <c r="F13" s="63">
        <v>840</v>
      </c>
      <c r="G13" s="80">
        <f>(D13-(H13*(18/100)))*(100/46)</f>
        <v>3175.8034026465025</v>
      </c>
      <c r="H13" s="123">
        <f>E13*(100/46)</f>
        <v>1217.391304347826</v>
      </c>
      <c r="I13" s="163">
        <f>F13*(100/60)</f>
        <v>1400</v>
      </c>
      <c r="J13" s="61">
        <f>(G13*$J$12)/$G$12</f>
        <v>1587.9017013232512</v>
      </c>
      <c r="K13" s="62">
        <f>(H13*$K$12)/$H$12</f>
        <v>405.79710144927532</v>
      </c>
      <c r="L13" s="63">
        <f>(I13*$L$12)/$I$12</f>
        <v>215.38461538461539</v>
      </c>
      <c r="M13" s="61">
        <f>(G13*$M$12)/$G$12</f>
        <v>793.95085066162562</v>
      </c>
      <c r="N13" s="74">
        <f>(H13*$N$12)/$H$12</f>
        <v>405.79710144927532</v>
      </c>
      <c r="O13" s="75">
        <f>(I13*$O$12)/$I$12</f>
        <v>430.76923076923077</v>
      </c>
      <c r="P13" s="61">
        <f>(G13*$P$12)/$G$12</f>
        <v>793.95085066162562</v>
      </c>
      <c r="Q13" s="74">
        <f>(H13*$Q$12)/$H$12</f>
        <v>405.79710144927532</v>
      </c>
      <c r="R13" s="75">
        <f>(I13*$R$12)/$I$12</f>
        <v>430.76923076923077</v>
      </c>
      <c r="S13" s="61">
        <f>(G13*$S$12)/$G$12</f>
        <v>0</v>
      </c>
      <c r="T13" s="74">
        <f>(H13*$T$12)/$H$12</f>
        <v>0</v>
      </c>
      <c r="U13" s="75">
        <f>(I13*$U$12)/$I$12</f>
        <v>323.07692307692309</v>
      </c>
      <c r="W13" s="80">
        <f t="shared" ref="W13:Y15" si="6">Z13+AC13+AF13+AI13</f>
        <v>3200</v>
      </c>
      <c r="X13" s="80">
        <f t="shared" si="6"/>
        <v>1200</v>
      </c>
      <c r="Y13" s="80">
        <f t="shared" si="6"/>
        <v>1700</v>
      </c>
      <c r="Z13" s="98">
        <v>1600</v>
      </c>
      <c r="AA13" s="99">
        <v>400</v>
      </c>
      <c r="AB13" s="100">
        <v>300</v>
      </c>
      <c r="AC13" s="101">
        <v>800</v>
      </c>
      <c r="AD13" s="99">
        <v>400</v>
      </c>
      <c r="AE13" s="100">
        <v>500</v>
      </c>
      <c r="AF13" s="101">
        <v>800</v>
      </c>
      <c r="AG13" s="99">
        <v>400</v>
      </c>
      <c r="AH13" s="100">
        <v>500</v>
      </c>
      <c r="AI13" s="101">
        <v>0</v>
      </c>
      <c r="AJ13" s="99">
        <v>0</v>
      </c>
      <c r="AK13" s="102">
        <v>400</v>
      </c>
    </row>
    <row r="14" spans="1:37" x14ac:dyDescent="0.35">
      <c r="A14" s="23" t="s">
        <v>13</v>
      </c>
      <c r="B14" s="22" t="s">
        <v>14</v>
      </c>
      <c r="C14" s="23" t="s">
        <v>64</v>
      </c>
      <c r="D14" s="61">
        <v>1680</v>
      </c>
      <c r="E14" s="66">
        <v>560</v>
      </c>
      <c r="F14" s="63">
        <v>420</v>
      </c>
      <c r="G14" s="80">
        <f>(D14-(H14*(18/100)))*(100/46)</f>
        <v>3175.8034026465025</v>
      </c>
      <c r="H14" s="125">
        <f t="shared" ref="H14:H39" si="7">E14*(100/46)</f>
        <v>1217.391304347826</v>
      </c>
      <c r="I14" s="163">
        <f t="shared" ref="I14:I39" si="8">F14*(100/60)</f>
        <v>700</v>
      </c>
      <c r="J14" s="61">
        <f t="shared" ref="J14:J39" si="9">(G14*$J$12)/$G$12</f>
        <v>1587.9017013232512</v>
      </c>
      <c r="K14" s="66">
        <f t="shared" ref="K14:K39" si="10">(H14*$K$12)/$H$12</f>
        <v>405.79710144927532</v>
      </c>
      <c r="L14" s="63">
        <f t="shared" ref="L14:L39" si="11">(I14*$L$12)/$I$12</f>
        <v>107.69230769230769</v>
      </c>
      <c r="M14" s="61">
        <f t="shared" ref="M14:M39" si="12">(G14*$M$12)/$G$12</f>
        <v>793.95085066162562</v>
      </c>
      <c r="N14" s="76">
        <f t="shared" ref="N14:N39" si="13">(H14*$N$12)/$H$12</f>
        <v>405.79710144927532</v>
      </c>
      <c r="O14" s="75">
        <f t="shared" ref="O14:O39" si="14">(I14*$O$12)/$I$12</f>
        <v>215.38461538461539</v>
      </c>
      <c r="P14" s="61">
        <f t="shared" ref="P14:P39" si="15">(G14*$P$12)/$G$12</f>
        <v>793.95085066162562</v>
      </c>
      <c r="Q14" s="76">
        <f t="shared" ref="Q14:Q39" si="16">(H14*$Q$12)/$H$12</f>
        <v>405.79710144927532</v>
      </c>
      <c r="R14" s="75">
        <f t="shared" ref="R14:R39" si="17">(I14*$R$12)/$I$12</f>
        <v>215.38461538461539</v>
      </c>
      <c r="S14" s="61">
        <f t="shared" ref="S14:S39" si="18">(G14*$S$12)/$G$12</f>
        <v>0</v>
      </c>
      <c r="T14" s="76">
        <f t="shared" ref="T14:T39" si="19">(H14*$T$12)/$H$12</f>
        <v>0</v>
      </c>
      <c r="U14" s="75">
        <f t="shared" ref="U14:U39" si="20">(I14*$U$12)/$I$12</f>
        <v>161.53846153846155</v>
      </c>
      <c r="W14" s="80">
        <f t="shared" si="6"/>
        <v>3200</v>
      </c>
      <c r="X14" s="80">
        <f t="shared" si="6"/>
        <v>1200</v>
      </c>
      <c r="Y14" s="80">
        <f t="shared" si="6"/>
        <v>900</v>
      </c>
      <c r="Z14" s="103">
        <v>1600</v>
      </c>
      <c r="AA14" s="67">
        <v>400</v>
      </c>
      <c r="AB14" s="64">
        <v>200</v>
      </c>
      <c r="AC14" s="65">
        <v>800</v>
      </c>
      <c r="AD14" s="67">
        <v>400</v>
      </c>
      <c r="AE14" s="64">
        <v>200</v>
      </c>
      <c r="AF14" s="65">
        <v>800</v>
      </c>
      <c r="AG14" s="67">
        <v>400</v>
      </c>
      <c r="AH14" s="64">
        <v>300</v>
      </c>
      <c r="AI14" s="65">
        <v>0</v>
      </c>
      <c r="AJ14" s="67">
        <v>0</v>
      </c>
      <c r="AK14" s="104">
        <v>200</v>
      </c>
    </row>
    <row r="15" spans="1:37" s="24" customFormat="1" ht="18.600000000000001" thickBot="1" x14ac:dyDescent="0.4">
      <c r="A15" s="23" t="s">
        <v>13</v>
      </c>
      <c r="B15" s="22" t="s">
        <v>14</v>
      </c>
      <c r="C15" s="23" t="s">
        <v>17</v>
      </c>
      <c r="D15" s="68">
        <v>1680</v>
      </c>
      <c r="E15" s="69">
        <v>560</v>
      </c>
      <c r="F15" s="70">
        <v>210</v>
      </c>
      <c r="G15" s="80">
        <f>(D15-(H15*(18/100)))*(100/46)</f>
        <v>3175.8034026465025</v>
      </c>
      <c r="H15" s="125">
        <f t="shared" si="7"/>
        <v>1217.391304347826</v>
      </c>
      <c r="I15" s="163">
        <f t="shared" si="8"/>
        <v>350</v>
      </c>
      <c r="J15" s="61">
        <f t="shared" si="9"/>
        <v>1587.9017013232512</v>
      </c>
      <c r="K15" s="66">
        <f t="shared" si="10"/>
        <v>405.79710144927532</v>
      </c>
      <c r="L15" s="63">
        <f t="shared" si="11"/>
        <v>53.846153846153847</v>
      </c>
      <c r="M15" s="61">
        <f t="shared" si="12"/>
        <v>793.95085066162562</v>
      </c>
      <c r="N15" s="76">
        <f t="shared" si="13"/>
        <v>405.79710144927532</v>
      </c>
      <c r="O15" s="75">
        <f t="shared" si="14"/>
        <v>107.69230769230769</v>
      </c>
      <c r="P15" s="61">
        <f t="shared" si="15"/>
        <v>793.95085066162562</v>
      </c>
      <c r="Q15" s="76">
        <f t="shared" si="16"/>
        <v>405.79710144927532</v>
      </c>
      <c r="R15" s="75">
        <f t="shared" si="17"/>
        <v>107.69230769230769</v>
      </c>
      <c r="S15" s="61">
        <f t="shared" si="18"/>
        <v>0</v>
      </c>
      <c r="T15" s="76">
        <f t="shared" si="19"/>
        <v>0</v>
      </c>
      <c r="U15" s="75">
        <f t="shared" si="20"/>
        <v>80.769230769230774</v>
      </c>
      <c r="W15" s="80">
        <f t="shared" si="6"/>
        <v>3200</v>
      </c>
      <c r="X15" s="80">
        <f t="shared" si="6"/>
        <v>1200</v>
      </c>
      <c r="Y15" s="80">
        <f t="shared" si="6"/>
        <v>500</v>
      </c>
      <c r="Z15" s="105">
        <v>1600</v>
      </c>
      <c r="AA15" s="106">
        <v>400</v>
      </c>
      <c r="AB15" s="107">
        <v>100</v>
      </c>
      <c r="AC15" s="108">
        <v>800</v>
      </c>
      <c r="AD15" s="106">
        <v>400</v>
      </c>
      <c r="AE15" s="107">
        <v>100</v>
      </c>
      <c r="AF15" s="108">
        <v>800</v>
      </c>
      <c r="AG15" s="106">
        <v>400</v>
      </c>
      <c r="AH15" s="107">
        <v>200</v>
      </c>
      <c r="AI15" s="108">
        <v>0</v>
      </c>
      <c r="AJ15" s="106">
        <v>0</v>
      </c>
      <c r="AK15" s="109">
        <v>100</v>
      </c>
    </row>
    <row r="16" spans="1:37" x14ac:dyDescent="0.35">
      <c r="A16" s="25" t="s">
        <v>13</v>
      </c>
      <c r="B16" s="26" t="s">
        <v>63</v>
      </c>
      <c r="C16" s="25" t="s">
        <v>15</v>
      </c>
      <c r="D16" s="71">
        <v>1680</v>
      </c>
      <c r="E16" s="62">
        <v>280</v>
      </c>
      <c r="F16" s="72">
        <v>840</v>
      </c>
      <c r="G16" s="80">
        <f>(D16-(H16*(18/100)))*(100/46)</f>
        <v>3413.9886578449905</v>
      </c>
      <c r="H16" s="125">
        <f t="shared" si="7"/>
        <v>608.695652173913</v>
      </c>
      <c r="I16" s="163">
        <f t="shared" si="8"/>
        <v>1400</v>
      </c>
      <c r="J16" s="61">
        <f t="shared" si="9"/>
        <v>1706.9943289224952</v>
      </c>
      <c r="K16" s="66">
        <f t="shared" si="10"/>
        <v>202.89855072463766</v>
      </c>
      <c r="L16" s="63">
        <f t="shared" si="11"/>
        <v>215.38461538461539</v>
      </c>
      <c r="M16" s="61">
        <f t="shared" si="12"/>
        <v>853.49716446124762</v>
      </c>
      <c r="N16" s="76">
        <f t="shared" si="13"/>
        <v>202.89855072463766</v>
      </c>
      <c r="O16" s="75">
        <f t="shared" si="14"/>
        <v>430.76923076923077</v>
      </c>
      <c r="P16" s="61">
        <f t="shared" si="15"/>
        <v>853.49716446124762</v>
      </c>
      <c r="Q16" s="76">
        <f t="shared" si="16"/>
        <v>202.89855072463766</v>
      </c>
      <c r="R16" s="75">
        <f t="shared" si="17"/>
        <v>430.76923076923077</v>
      </c>
      <c r="S16" s="61">
        <f t="shared" si="18"/>
        <v>0</v>
      </c>
      <c r="T16" s="76">
        <f t="shared" si="19"/>
        <v>0</v>
      </c>
      <c r="U16" s="75">
        <f t="shared" si="20"/>
        <v>323.07692307692309</v>
      </c>
      <c r="W16" s="80">
        <f t="shared" ref="W16:Y39" si="21">Z16+AC16+AF16+AI16</f>
        <v>3500</v>
      </c>
      <c r="X16" s="80">
        <f t="shared" si="21"/>
        <v>600</v>
      </c>
      <c r="Y16" s="80">
        <f t="shared" si="21"/>
        <v>1700</v>
      </c>
      <c r="Z16" s="103">
        <v>1700</v>
      </c>
      <c r="AA16" s="67">
        <v>200</v>
      </c>
      <c r="AB16" s="100">
        <v>300</v>
      </c>
      <c r="AC16" s="65">
        <v>900</v>
      </c>
      <c r="AD16" s="67">
        <v>200</v>
      </c>
      <c r="AE16" s="100">
        <v>500</v>
      </c>
      <c r="AF16" s="65">
        <v>900</v>
      </c>
      <c r="AG16" s="67">
        <v>200</v>
      </c>
      <c r="AH16" s="100">
        <v>500</v>
      </c>
      <c r="AI16" s="65">
        <v>0</v>
      </c>
      <c r="AJ16" s="67">
        <v>0</v>
      </c>
      <c r="AK16" s="102">
        <v>400</v>
      </c>
    </row>
    <row r="17" spans="1:37" x14ac:dyDescent="0.35">
      <c r="A17" s="25" t="s">
        <v>13</v>
      </c>
      <c r="B17" s="26" t="s">
        <v>63</v>
      </c>
      <c r="C17" s="25" t="s">
        <v>16</v>
      </c>
      <c r="D17" s="61">
        <v>1680</v>
      </c>
      <c r="E17" s="66">
        <v>280</v>
      </c>
      <c r="F17" s="63">
        <v>420</v>
      </c>
      <c r="G17" s="80">
        <f>(D17-(H17*(18/100)))*(100/46)</f>
        <v>3413.9886578449905</v>
      </c>
      <c r="H17" s="125">
        <f t="shared" si="7"/>
        <v>608.695652173913</v>
      </c>
      <c r="I17" s="163">
        <f t="shared" si="8"/>
        <v>700</v>
      </c>
      <c r="J17" s="61">
        <f t="shared" si="9"/>
        <v>1706.9943289224952</v>
      </c>
      <c r="K17" s="66">
        <f t="shared" si="10"/>
        <v>202.89855072463766</v>
      </c>
      <c r="L17" s="63">
        <f t="shared" si="11"/>
        <v>107.69230769230769</v>
      </c>
      <c r="M17" s="61">
        <f t="shared" si="12"/>
        <v>853.49716446124762</v>
      </c>
      <c r="N17" s="76">
        <f t="shared" si="13"/>
        <v>202.89855072463766</v>
      </c>
      <c r="O17" s="75">
        <f t="shared" si="14"/>
        <v>215.38461538461539</v>
      </c>
      <c r="P17" s="61">
        <f t="shared" si="15"/>
        <v>853.49716446124762</v>
      </c>
      <c r="Q17" s="76">
        <f t="shared" si="16"/>
        <v>202.89855072463766</v>
      </c>
      <c r="R17" s="75">
        <f t="shared" si="17"/>
        <v>215.38461538461539</v>
      </c>
      <c r="S17" s="61">
        <f t="shared" si="18"/>
        <v>0</v>
      </c>
      <c r="T17" s="76">
        <f t="shared" si="19"/>
        <v>0</v>
      </c>
      <c r="U17" s="75">
        <f t="shared" si="20"/>
        <v>161.53846153846155</v>
      </c>
      <c r="W17" s="80">
        <f t="shared" si="21"/>
        <v>3500</v>
      </c>
      <c r="X17" s="80">
        <f t="shared" si="21"/>
        <v>600</v>
      </c>
      <c r="Y17" s="80">
        <f t="shared" si="21"/>
        <v>900</v>
      </c>
      <c r="Z17" s="103">
        <v>1700</v>
      </c>
      <c r="AA17" s="67">
        <v>200</v>
      </c>
      <c r="AB17" s="64">
        <v>200</v>
      </c>
      <c r="AC17" s="65">
        <v>900</v>
      </c>
      <c r="AD17" s="67">
        <v>200</v>
      </c>
      <c r="AE17" s="64">
        <v>200</v>
      </c>
      <c r="AF17" s="65">
        <v>900</v>
      </c>
      <c r="AG17" s="67">
        <v>200</v>
      </c>
      <c r="AH17" s="64">
        <v>300</v>
      </c>
      <c r="AI17" s="65">
        <v>0</v>
      </c>
      <c r="AJ17" s="67">
        <v>0</v>
      </c>
      <c r="AK17" s="104">
        <v>200</v>
      </c>
    </row>
    <row r="18" spans="1:37" ht="18.600000000000001" thickBot="1" x14ac:dyDescent="0.4">
      <c r="A18" s="25" t="s">
        <v>13</v>
      </c>
      <c r="B18" s="26" t="s">
        <v>63</v>
      </c>
      <c r="C18" s="25" t="s">
        <v>17</v>
      </c>
      <c r="D18" s="68">
        <v>1680</v>
      </c>
      <c r="E18" s="69">
        <v>280</v>
      </c>
      <c r="F18" s="70">
        <v>210</v>
      </c>
      <c r="G18" s="80">
        <f t="shared" ref="G18:G39" si="22">(D18-(H18*(18/100)))*(100/46)</f>
        <v>3413.9886578449905</v>
      </c>
      <c r="H18" s="125">
        <f t="shared" si="7"/>
        <v>608.695652173913</v>
      </c>
      <c r="I18" s="163">
        <f t="shared" si="8"/>
        <v>350</v>
      </c>
      <c r="J18" s="61">
        <f t="shared" si="9"/>
        <v>1706.9943289224952</v>
      </c>
      <c r="K18" s="66">
        <f t="shared" si="10"/>
        <v>202.89855072463766</v>
      </c>
      <c r="L18" s="63">
        <f t="shared" si="11"/>
        <v>53.846153846153847</v>
      </c>
      <c r="M18" s="61">
        <f t="shared" si="12"/>
        <v>853.49716446124762</v>
      </c>
      <c r="N18" s="76">
        <f t="shared" si="13"/>
        <v>202.89855072463766</v>
      </c>
      <c r="O18" s="75">
        <f t="shared" si="14"/>
        <v>107.69230769230769</v>
      </c>
      <c r="P18" s="61">
        <f t="shared" si="15"/>
        <v>853.49716446124762</v>
      </c>
      <c r="Q18" s="76">
        <f t="shared" si="16"/>
        <v>202.89855072463766</v>
      </c>
      <c r="R18" s="75">
        <f t="shared" si="17"/>
        <v>107.69230769230769</v>
      </c>
      <c r="S18" s="61">
        <f t="shared" si="18"/>
        <v>0</v>
      </c>
      <c r="T18" s="76">
        <f t="shared" si="19"/>
        <v>0</v>
      </c>
      <c r="U18" s="75">
        <f t="shared" si="20"/>
        <v>80.769230769230774</v>
      </c>
      <c r="W18" s="80">
        <f t="shared" si="21"/>
        <v>3500</v>
      </c>
      <c r="X18" s="80">
        <f t="shared" si="21"/>
        <v>600</v>
      </c>
      <c r="Y18" s="80">
        <f t="shared" si="21"/>
        <v>500</v>
      </c>
      <c r="Z18" s="103">
        <v>1700</v>
      </c>
      <c r="AA18" s="67">
        <v>200</v>
      </c>
      <c r="AB18" s="107">
        <v>100</v>
      </c>
      <c r="AC18" s="65">
        <v>900</v>
      </c>
      <c r="AD18" s="67">
        <v>200</v>
      </c>
      <c r="AE18" s="107">
        <v>100</v>
      </c>
      <c r="AF18" s="65">
        <v>900</v>
      </c>
      <c r="AG18" s="67">
        <v>200</v>
      </c>
      <c r="AH18" s="107">
        <v>200</v>
      </c>
      <c r="AI18" s="65">
        <v>0</v>
      </c>
      <c r="AJ18" s="67">
        <v>0</v>
      </c>
      <c r="AK18" s="109">
        <v>100</v>
      </c>
    </row>
    <row r="19" spans="1:37" x14ac:dyDescent="0.35">
      <c r="A19" s="27" t="s">
        <v>13</v>
      </c>
      <c r="B19" s="28" t="s">
        <v>18</v>
      </c>
      <c r="C19" s="27" t="s">
        <v>15</v>
      </c>
      <c r="D19" s="61">
        <v>1680</v>
      </c>
      <c r="E19" s="66">
        <v>140</v>
      </c>
      <c r="F19" s="63">
        <v>840</v>
      </c>
      <c r="G19" s="80">
        <f t="shared" si="22"/>
        <v>3533.0812854442343</v>
      </c>
      <c r="H19" s="125">
        <f t="shared" si="7"/>
        <v>304.3478260869565</v>
      </c>
      <c r="I19" s="163">
        <f t="shared" si="8"/>
        <v>1400</v>
      </c>
      <c r="J19" s="61">
        <f t="shared" si="9"/>
        <v>1766.5406427221171</v>
      </c>
      <c r="K19" s="66">
        <f t="shared" si="10"/>
        <v>101.44927536231883</v>
      </c>
      <c r="L19" s="63">
        <f t="shared" si="11"/>
        <v>215.38461538461539</v>
      </c>
      <c r="M19" s="61">
        <f t="shared" si="12"/>
        <v>883.27032136105856</v>
      </c>
      <c r="N19" s="76">
        <f t="shared" si="13"/>
        <v>101.44927536231883</v>
      </c>
      <c r="O19" s="75">
        <f t="shared" si="14"/>
        <v>430.76923076923077</v>
      </c>
      <c r="P19" s="61">
        <f t="shared" si="15"/>
        <v>883.27032136105856</v>
      </c>
      <c r="Q19" s="76">
        <f t="shared" si="16"/>
        <v>101.44927536231883</v>
      </c>
      <c r="R19" s="75">
        <f t="shared" si="17"/>
        <v>430.76923076923077</v>
      </c>
      <c r="S19" s="61">
        <f t="shared" si="18"/>
        <v>0</v>
      </c>
      <c r="T19" s="76">
        <f t="shared" si="19"/>
        <v>0</v>
      </c>
      <c r="U19" s="75">
        <f t="shared" si="20"/>
        <v>323.07692307692309</v>
      </c>
      <c r="W19" s="80">
        <f t="shared" si="21"/>
        <v>3600</v>
      </c>
      <c r="X19" s="80">
        <f t="shared" si="21"/>
        <v>300</v>
      </c>
      <c r="Y19" s="80">
        <f t="shared" si="21"/>
        <v>1700</v>
      </c>
      <c r="Z19" s="98">
        <v>1800</v>
      </c>
      <c r="AA19" s="99">
        <v>100</v>
      </c>
      <c r="AB19" s="100">
        <v>300</v>
      </c>
      <c r="AC19" s="101">
        <v>900</v>
      </c>
      <c r="AD19" s="99">
        <v>100</v>
      </c>
      <c r="AE19" s="100">
        <v>500</v>
      </c>
      <c r="AF19" s="101">
        <v>900</v>
      </c>
      <c r="AG19" s="99">
        <v>100</v>
      </c>
      <c r="AH19" s="100">
        <v>500</v>
      </c>
      <c r="AI19" s="101">
        <v>0</v>
      </c>
      <c r="AJ19" s="99">
        <v>0</v>
      </c>
      <c r="AK19" s="102">
        <v>400</v>
      </c>
    </row>
    <row r="20" spans="1:37" x14ac:dyDescent="0.35">
      <c r="A20" s="27" t="s">
        <v>13</v>
      </c>
      <c r="B20" s="28" t="s">
        <v>18</v>
      </c>
      <c r="C20" s="27" t="s">
        <v>64</v>
      </c>
      <c r="D20" s="61">
        <v>1680</v>
      </c>
      <c r="E20" s="66">
        <v>140</v>
      </c>
      <c r="F20" s="63">
        <v>420</v>
      </c>
      <c r="G20" s="80">
        <f t="shared" si="22"/>
        <v>3533.0812854442343</v>
      </c>
      <c r="H20" s="125">
        <f t="shared" si="7"/>
        <v>304.3478260869565</v>
      </c>
      <c r="I20" s="163">
        <f t="shared" si="8"/>
        <v>700</v>
      </c>
      <c r="J20" s="61">
        <f t="shared" si="9"/>
        <v>1766.5406427221171</v>
      </c>
      <c r="K20" s="66">
        <f t="shared" si="10"/>
        <v>101.44927536231883</v>
      </c>
      <c r="L20" s="63">
        <f t="shared" si="11"/>
        <v>107.69230769230769</v>
      </c>
      <c r="M20" s="61">
        <f t="shared" si="12"/>
        <v>883.27032136105856</v>
      </c>
      <c r="N20" s="76">
        <f t="shared" si="13"/>
        <v>101.44927536231883</v>
      </c>
      <c r="O20" s="75">
        <f t="shared" si="14"/>
        <v>215.38461538461539</v>
      </c>
      <c r="P20" s="61">
        <f t="shared" si="15"/>
        <v>883.27032136105856</v>
      </c>
      <c r="Q20" s="76">
        <f t="shared" si="16"/>
        <v>101.44927536231883</v>
      </c>
      <c r="R20" s="75">
        <f t="shared" si="17"/>
        <v>215.38461538461539</v>
      </c>
      <c r="S20" s="61">
        <f t="shared" si="18"/>
        <v>0</v>
      </c>
      <c r="T20" s="76">
        <f t="shared" si="19"/>
        <v>0</v>
      </c>
      <c r="U20" s="75">
        <f t="shared" si="20"/>
        <v>161.53846153846155</v>
      </c>
      <c r="W20" s="80">
        <f t="shared" si="21"/>
        <v>3600</v>
      </c>
      <c r="X20" s="80">
        <f t="shared" si="21"/>
        <v>300</v>
      </c>
      <c r="Y20" s="80">
        <f t="shared" si="21"/>
        <v>900</v>
      </c>
      <c r="Z20" s="103">
        <v>1800</v>
      </c>
      <c r="AA20" s="67">
        <v>100</v>
      </c>
      <c r="AB20" s="64">
        <v>200</v>
      </c>
      <c r="AC20" s="65">
        <v>900</v>
      </c>
      <c r="AD20" s="67">
        <v>100</v>
      </c>
      <c r="AE20" s="64">
        <v>200</v>
      </c>
      <c r="AF20" s="65">
        <v>900</v>
      </c>
      <c r="AG20" s="67">
        <v>100</v>
      </c>
      <c r="AH20" s="64">
        <v>300</v>
      </c>
      <c r="AI20" s="65">
        <v>0</v>
      </c>
      <c r="AJ20" s="67">
        <v>0</v>
      </c>
      <c r="AK20" s="104">
        <v>200</v>
      </c>
    </row>
    <row r="21" spans="1:37" ht="18.600000000000001" thickBot="1" x14ac:dyDescent="0.4">
      <c r="A21" s="27" t="s">
        <v>13</v>
      </c>
      <c r="B21" s="28" t="s">
        <v>18</v>
      </c>
      <c r="C21" s="27" t="s">
        <v>17</v>
      </c>
      <c r="D21" s="68">
        <v>1680</v>
      </c>
      <c r="E21" s="69">
        <v>140</v>
      </c>
      <c r="F21" s="70">
        <v>210</v>
      </c>
      <c r="G21" s="80">
        <f t="shared" si="22"/>
        <v>3533.0812854442343</v>
      </c>
      <c r="H21" s="125">
        <f t="shared" si="7"/>
        <v>304.3478260869565</v>
      </c>
      <c r="I21" s="163">
        <f t="shared" si="8"/>
        <v>350</v>
      </c>
      <c r="J21" s="61">
        <f t="shared" si="9"/>
        <v>1766.5406427221171</v>
      </c>
      <c r="K21" s="66">
        <f t="shared" si="10"/>
        <v>101.44927536231883</v>
      </c>
      <c r="L21" s="63">
        <f t="shared" si="11"/>
        <v>53.846153846153847</v>
      </c>
      <c r="M21" s="61">
        <f t="shared" si="12"/>
        <v>883.27032136105856</v>
      </c>
      <c r="N21" s="76">
        <f t="shared" si="13"/>
        <v>101.44927536231883</v>
      </c>
      <c r="O21" s="75">
        <f t="shared" si="14"/>
        <v>107.69230769230769</v>
      </c>
      <c r="P21" s="61">
        <f t="shared" si="15"/>
        <v>883.27032136105856</v>
      </c>
      <c r="Q21" s="76">
        <f t="shared" si="16"/>
        <v>101.44927536231883</v>
      </c>
      <c r="R21" s="75">
        <f t="shared" si="17"/>
        <v>107.69230769230769</v>
      </c>
      <c r="S21" s="61">
        <f t="shared" si="18"/>
        <v>0</v>
      </c>
      <c r="T21" s="76">
        <f t="shared" si="19"/>
        <v>0</v>
      </c>
      <c r="U21" s="75">
        <f t="shared" si="20"/>
        <v>80.769230769230774</v>
      </c>
      <c r="W21" s="80">
        <f t="shared" si="21"/>
        <v>3600</v>
      </c>
      <c r="X21" s="80">
        <f t="shared" si="21"/>
        <v>300</v>
      </c>
      <c r="Y21" s="80">
        <f t="shared" si="21"/>
        <v>500</v>
      </c>
      <c r="Z21" s="105">
        <v>1800</v>
      </c>
      <c r="AA21" s="106">
        <v>100</v>
      </c>
      <c r="AB21" s="107">
        <v>100</v>
      </c>
      <c r="AC21" s="108">
        <v>900</v>
      </c>
      <c r="AD21" s="106">
        <v>100</v>
      </c>
      <c r="AE21" s="107">
        <v>100</v>
      </c>
      <c r="AF21" s="108">
        <v>900</v>
      </c>
      <c r="AG21" s="106">
        <v>100</v>
      </c>
      <c r="AH21" s="107">
        <v>200</v>
      </c>
      <c r="AI21" s="108">
        <v>0</v>
      </c>
      <c r="AJ21" s="106">
        <v>0</v>
      </c>
      <c r="AK21" s="109">
        <v>100</v>
      </c>
    </row>
    <row r="22" spans="1:37" x14ac:dyDescent="0.35">
      <c r="A22" s="29" t="s">
        <v>19</v>
      </c>
      <c r="B22" s="30" t="s">
        <v>14</v>
      </c>
      <c r="C22" s="31" t="s">
        <v>15</v>
      </c>
      <c r="D22" s="71">
        <v>840</v>
      </c>
      <c r="E22" s="62">
        <v>560</v>
      </c>
      <c r="F22" s="63">
        <v>840</v>
      </c>
      <c r="G22" s="80">
        <f t="shared" si="22"/>
        <v>1349.7164461247637</v>
      </c>
      <c r="H22" s="125">
        <f t="shared" si="7"/>
        <v>1217.391304347826</v>
      </c>
      <c r="I22" s="163">
        <f t="shared" si="8"/>
        <v>1400</v>
      </c>
      <c r="J22" s="61">
        <f t="shared" si="9"/>
        <v>674.85822306238185</v>
      </c>
      <c r="K22" s="66">
        <f t="shared" si="10"/>
        <v>405.79710144927532</v>
      </c>
      <c r="L22" s="63">
        <f t="shared" si="11"/>
        <v>215.38461538461539</v>
      </c>
      <c r="M22" s="61">
        <f t="shared" si="12"/>
        <v>337.42911153119093</v>
      </c>
      <c r="N22" s="76">
        <f t="shared" si="13"/>
        <v>405.79710144927532</v>
      </c>
      <c r="O22" s="75">
        <f t="shared" si="14"/>
        <v>430.76923076923077</v>
      </c>
      <c r="P22" s="61">
        <f t="shared" si="15"/>
        <v>337.42911153119093</v>
      </c>
      <c r="Q22" s="76">
        <f t="shared" si="16"/>
        <v>405.79710144927532</v>
      </c>
      <c r="R22" s="75">
        <f t="shared" si="17"/>
        <v>430.76923076923077</v>
      </c>
      <c r="S22" s="61">
        <f t="shared" si="18"/>
        <v>0</v>
      </c>
      <c r="T22" s="76">
        <f t="shared" si="19"/>
        <v>0</v>
      </c>
      <c r="U22" s="75">
        <f t="shared" si="20"/>
        <v>323.07692307692309</v>
      </c>
      <c r="W22" s="80">
        <f t="shared" si="21"/>
        <v>1300</v>
      </c>
      <c r="X22" s="80">
        <f t="shared" si="21"/>
        <v>1200</v>
      </c>
      <c r="Y22" s="80">
        <f t="shared" si="21"/>
        <v>1700</v>
      </c>
      <c r="Z22" s="103">
        <v>700</v>
      </c>
      <c r="AA22" s="99">
        <v>400</v>
      </c>
      <c r="AB22" s="100">
        <v>300</v>
      </c>
      <c r="AC22" s="65">
        <v>300</v>
      </c>
      <c r="AD22" s="99">
        <v>400</v>
      </c>
      <c r="AE22" s="100">
        <v>500</v>
      </c>
      <c r="AF22" s="101">
        <v>300</v>
      </c>
      <c r="AG22" s="99">
        <v>400</v>
      </c>
      <c r="AH22" s="100">
        <v>500</v>
      </c>
      <c r="AI22" s="65">
        <v>0</v>
      </c>
      <c r="AJ22" s="67">
        <v>0</v>
      </c>
      <c r="AK22" s="102">
        <v>400</v>
      </c>
    </row>
    <row r="23" spans="1:37" x14ac:dyDescent="0.35">
      <c r="A23" s="29" t="s">
        <v>19</v>
      </c>
      <c r="B23" s="30" t="s">
        <v>14</v>
      </c>
      <c r="C23" s="31" t="s">
        <v>64</v>
      </c>
      <c r="D23" s="61">
        <v>840</v>
      </c>
      <c r="E23" s="66">
        <v>560</v>
      </c>
      <c r="F23" s="63">
        <v>420</v>
      </c>
      <c r="G23" s="80">
        <f t="shared" si="22"/>
        <v>1349.7164461247637</v>
      </c>
      <c r="H23" s="125">
        <f t="shared" si="7"/>
        <v>1217.391304347826</v>
      </c>
      <c r="I23" s="163">
        <f t="shared" si="8"/>
        <v>700</v>
      </c>
      <c r="J23" s="61">
        <f t="shared" si="9"/>
        <v>674.85822306238185</v>
      </c>
      <c r="K23" s="66">
        <f t="shared" si="10"/>
        <v>405.79710144927532</v>
      </c>
      <c r="L23" s="63">
        <f t="shared" si="11"/>
        <v>107.69230769230769</v>
      </c>
      <c r="M23" s="61">
        <f t="shared" si="12"/>
        <v>337.42911153119093</v>
      </c>
      <c r="N23" s="76">
        <f t="shared" si="13"/>
        <v>405.79710144927532</v>
      </c>
      <c r="O23" s="75">
        <f t="shared" si="14"/>
        <v>215.38461538461539</v>
      </c>
      <c r="P23" s="61">
        <f t="shared" si="15"/>
        <v>337.42911153119093</v>
      </c>
      <c r="Q23" s="76">
        <f t="shared" si="16"/>
        <v>405.79710144927532</v>
      </c>
      <c r="R23" s="75">
        <f t="shared" si="17"/>
        <v>215.38461538461539</v>
      </c>
      <c r="S23" s="61">
        <f t="shared" si="18"/>
        <v>0</v>
      </c>
      <c r="T23" s="76">
        <f t="shared" si="19"/>
        <v>0</v>
      </c>
      <c r="U23" s="75">
        <f t="shared" si="20"/>
        <v>161.53846153846155</v>
      </c>
      <c r="W23" s="80">
        <f t="shared" si="21"/>
        <v>1300</v>
      </c>
      <c r="X23" s="80">
        <f t="shared" si="21"/>
        <v>1200</v>
      </c>
      <c r="Y23" s="80">
        <f t="shared" si="21"/>
        <v>900</v>
      </c>
      <c r="Z23" s="103">
        <v>700</v>
      </c>
      <c r="AA23" s="67">
        <v>400</v>
      </c>
      <c r="AB23" s="64">
        <v>200</v>
      </c>
      <c r="AC23" s="65">
        <v>300</v>
      </c>
      <c r="AD23" s="67">
        <v>400</v>
      </c>
      <c r="AE23" s="64">
        <v>200</v>
      </c>
      <c r="AF23" s="65">
        <v>300</v>
      </c>
      <c r="AG23" s="67">
        <v>400</v>
      </c>
      <c r="AH23" s="64">
        <v>300</v>
      </c>
      <c r="AI23" s="65">
        <v>0</v>
      </c>
      <c r="AJ23" s="67">
        <v>0</v>
      </c>
      <c r="AK23" s="104">
        <v>200</v>
      </c>
    </row>
    <row r="24" spans="1:37" ht="18.600000000000001" thickBot="1" x14ac:dyDescent="0.4">
      <c r="A24" s="29" t="s">
        <v>19</v>
      </c>
      <c r="B24" s="30" t="s">
        <v>14</v>
      </c>
      <c r="C24" s="31" t="s">
        <v>17</v>
      </c>
      <c r="D24" s="68">
        <v>840</v>
      </c>
      <c r="E24" s="69">
        <v>560</v>
      </c>
      <c r="F24" s="70">
        <v>210</v>
      </c>
      <c r="G24" s="80">
        <f t="shared" si="22"/>
        <v>1349.7164461247637</v>
      </c>
      <c r="H24" s="125">
        <f t="shared" si="7"/>
        <v>1217.391304347826</v>
      </c>
      <c r="I24" s="163">
        <f t="shared" si="8"/>
        <v>350</v>
      </c>
      <c r="J24" s="61">
        <f t="shared" si="9"/>
        <v>674.85822306238185</v>
      </c>
      <c r="K24" s="66">
        <f t="shared" si="10"/>
        <v>405.79710144927532</v>
      </c>
      <c r="L24" s="63">
        <f t="shared" si="11"/>
        <v>53.846153846153847</v>
      </c>
      <c r="M24" s="61">
        <f t="shared" si="12"/>
        <v>337.42911153119093</v>
      </c>
      <c r="N24" s="76">
        <f t="shared" si="13"/>
        <v>405.79710144927532</v>
      </c>
      <c r="O24" s="75">
        <f t="shared" si="14"/>
        <v>107.69230769230769</v>
      </c>
      <c r="P24" s="61">
        <f t="shared" si="15"/>
        <v>337.42911153119093</v>
      </c>
      <c r="Q24" s="76">
        <f t="shared" si="16"/>
        <v>405.79710144927532</v>
      </c>
      <c r="R24" s="75">
        <f t="shared" si="17"/>
        <v>107.69230769230769</v>
      </c>
      <c r="S24" s="61">
        <f t="shared" si="18"/>
        <v>0</v>
      </c>
      <c r="T24" s="76">
        <f t="shared" si="19"/>
        <v>0</v>
      </c>
      <c r="U24" s="75">
        <f t="shared" si="20"/>
        <v>80.769230769230774</v>
      </c>
      <c r="W24" s="80">
        <f t="shared" si="21"/>
        <v>1300</v>
      </c>
      <c r="X24" s="80">
        <f t="shared" si="21"/>
        <v>1200</v>
      </c>
      <c r="Y24" s="80">
        <f t="shared" si="21"/>
        <v>500</v>
      </c>
      <c r="Z24" s="103">
        <v>700</v>
      </c>
      <c r="AA24" s="106">
        <v>400</v>
      </c>
      <c r="AB24" s="107">
        <v>100</v>
      </c>
      <c r="AC24" s="65">
        <v>300</v>
      </c>
      <c r="AD24" s="106">
        <v>400</v>
      </c>
      <c r="AE24" s="107">
        <v>100</v>
      </c>
      <c r="AF24" s="108">
        <v>300</v>
      </c>
      <c r="AG24" s="106">
        <v>400</v>
      </c>
      <c r="AH24" s="107">
        <v>200</v>
      </c>
      <c r="AI24" s="65">
        <v>0</v>
      </c>
      <c r="AJ24" s="67">
        <v>0</v>
      </c>
      <c r="AK24" s="109">
        <v>100</v>
      </c>
    </row>
    <row r="25" spans="1:37" x14ac:dyDescent="0.35">
      <c r="A25" s="32" t="s">
        <v>19</v>
      </c>
      <c r="B25" s="33" t="s">
        <v>63</v>
      </c>
      <c r="C25" s="34" t="s">
        <v>15</v>
      </c>
      <c r="D25" s="61">
        <v>840</v>
      </c>
      <c r="E25" s="62">
        <v>280</v>
      </c>
      <c r="F25" s="72">
        <v>840</v>
      </c>
      <c r="G25" s="80">
        <f t="shared" si="22"/>
        <v>1587.9017013232512</v>
      </c>
      <c r="H25" s="125">
        <f t="shared" si="7"/>
        <v>608.695652173913</v>
      </c>
      <c r="I25" s="163">
        <f t="shared" si="8"/>
        <v>1400</v>
      </c>
      <c r="J25" s="61">
        <f t="shared" si="9"/>
        <v>793.95085066162562</v>
      </c>
      <c r="K25" s="66">
        <f t="shared" si="10"/>
        <v>202.89855072463766</v>
      </c>
      <c r="L25" s="63">
        <f t="shared" si="11"/>
        <v>215.38461538461539</v>
      </c>
      <c r="M25" s="61">
        <f t="shared" si="12"/>
        <v>396.97542533081281</v>
      </c>
      <c r="N25" s="76">
        <f t="shared" si="13"/>
        <v>202.89855072463766</v>
      </c>
      <c r="O25" s="75">
        <f t="shared" si="14"/>
        <v>430.76923076923077</v>
      </c>
      <c r="P25" s="61">
        <f t="shared" si="15"/>
        <v>396.97542533081281</v>
      </c>
      <c r="Q25" s="76">
        <f t="shared" si="16"/>
        <v>202.89855072463766</v>
      </c>
      <c r="R25" s="75">
        <f t="shared" si="17"/>
        <v>430.76923076923077</v>
      </c>
      <c r="S25" s="61">
        <f t="shared" si="18"/>
        <v>0</v>
      </c>
      <c r="T25" s="76">
        <f t="shared" si="19"/>
        <v>0</v>
      </c>
      <c r="U25" s="75">
        <f t="shared" si="20"/>
        <v>323.07692307692309</v>
      </c>
      <c r="W25" s="80">
        <f t="shared" si="21"/>
        <v>1600</v>
      </c>
      <c r="X25" s="80">
        <f t="shared" si="21"/>
        <v>600</v>
      </c>
      <c r="Y25" s="80">
        <f t="shared" si="21"/>
        <v>1700</v>
      </c>
      <c r="Z25" s="98">
        <v>800</v>
      </c>
      <c r="AA25" s="67">
        <v>200</v>
      </c>
      <c r="AB25" s="100">
        <v>300</v>
      </c>
      <c r="AC25" s="101">
        <v>400</v>
      </c>
      <c r="AD25" s="67">
        <v>200</v>
      </c>
      <c r="AE25" s="100">
        <v>500</v>
      </c>
      <c r="AF25" s="65">
        <v>400</v>
      </c>
      <c r="AG25" s="67">
        <v>200</v>
      </c>
      <c r="AH25" s="100">
        <v>500</v>
      </c>
      <c r="AI25" s="101">
        <v>0</v>
      </c>
      <c r="AJ25" s="99">
        <v>0</v>
      </c>
      <c r="AK25" s="102">
        <v>400</v>
      </c>
    </row>
    <row r="26" spans="1:37" x14ac:dyDescent="0.35">
      <c r="A26" s="32" t="s">
        <v>19</v>
      </c>
      <c r="B26" s="33" t="s">
        <v>63</v>
      </c>
      <c r="C26" s="34" t="s">
        <v>64</v>
      </c>
      <c r="D26" s="61">
        <v>840</v>
      </c>
      <c r="E26" s="66">
        <v>280</v>
      </c>
      <c r="F26" s="63">
        <v>420</v>
      </c>
      <c r="G26" s="80">
        <f t="shared" si="22"/>
        <v>1587.9017013232512</v>
      </c>
      <c r="H26" s="125">
        <f t="shared" si="7"/>
        <v>608.695652173913</v>
      </c>
      <c r="I26" s="163">
        <f t="shared" si="8"/>
        <v>700</v>
      </c>
      <c r="J26" s="61">
        <f t="shared" si="9"/>
        <v>793.95085066162562</v>
      </c>
      <c r="K26" s="66">
        <f t="shared" si="10"/>
        <v>202.89855072463766</v>
      </c>
      <c r="L26" s="63">
        <f t="shared" si="11"/>
        <v>107.69230769230769</v>
      </c>
      <c r="M26" s="61">
        <f t="shared" si="12"/>
        <v>396.97542533081281</v>
      </c>
      <c r="N26" s="76">
        <f t="shared" si="13"/>
        <v>202.89855072463766</v>
      </c>
      <c r="O26" s="75">
        <f t="shared" si="14"/>
        <v>215.38461538461539</v>
      </c>
      <c r="P26" s="61">
        <f t="shared" si="15"/>
        <v>396.97542533081281</v>
      </c>
      <c r="Q26" s="76">
        <f t="shared" si="16"/>
        <v>202.89855072463766</v>
      </c>
      <c r="R26" s="75">
        <f t="shared" si="17"/>
        <v>215.38461538461539</v>
      </c>
      <c r="S26" s="61">
        <f t="shared" si="18"/>
        <v>0</v>
      </c>
      <c r="T26" s="76">
        <f t="shared" si="19"/>
        <v>0</v>
      </c>
      <c r="U26" s="75">
        <f t="shared" si="20"/>
        <v>161.53846153846155</v>
      </c>
      <c r="W26" s="80">
        <f t="shared" si="21"/>
        <v>1600</v>
      </c>
      <c r="X26" s="80">
        <f t="shared" si="21"/>
        <v>600</v>
      </c>
      <c r="Y26" s="80">
        <f t="shared" si="21"/>
        <v>900</v>
      </c>
      <c r="Z26" s="103">
        <v>800</v>
      </c>
      <c r="AA26" s="67">
        <v>200</v>
      </c>
      <c r="AB26" s="64">
        <v>200</v>
      </c>
      <c r="AC26" s="65">
        <v>400</v>
      </c>
      <c r="AD26" s="67">
        <v>200</v>
      </c>
      <c r="AE26" s="64">
        <v>200</v>
      </c>
      <c r="AF26" s="65">
        <v>400</v>
      </c>
      <c r="AG26" s="67">
        <v>200</v>
      </c>
      <c r="AH26" s="64">
        <v>300</v>
      </c>
      <c r="AI26" s="65">
        <v>0</v>
      </c>
      <c r="AJ26" s="67">
        <v>0</v>
      </c>
      <c r="AK26" s="104">
        <v>200</v>
      </c>
    </row>
    <row r="27" spans="1:37" ht="18.600000000000001" thickBot="1" x14ac:dyDescent="0.4">
      <c r="A27" s="32" t="s">
        <v>19</v>
      </c>
      <c r="B27" s="33" t="s">
        <v>63</v>
      </c>
      <c r="C27" s="34" t="s">
        <v>17</v>
      </c>
      <c r="D27" s="68">
        <v>840</v>
      </c>
      <c r="E27" s="69">
        <v>280</v>
      </c>
      <c r="F27" s="70">
        <v>210</v>
      </c>
      <c r="G27" s="80">
        <f t="shared" si="22"/>
        <v>1587.9017013232512</v>
      </c>
      <c r="H27" s="125">
        <f t="shared" si="7"/>
        <v>608.695652173913</v>
      </c>
      <c r="I27" s="163">
        <f t="shared" si="8"/>
        <v>350</v>
      </c>
      <c r="J27" s="61">
        <f t="shared" si="9"/>
        <v>793.95085066162562</v>
      </c>
      <c r="K27" s="66">
        <f t="shared" si="10"/>
        <v>202.89855072463766</v>
      </c>
      <c r="L27" s="63">
        <f t="shared" si="11"/>
        <v>53.846153846153847</v>
      </c>
      <c r="M27" s="61">
        <f t="shared" si="12"/>
        <v>396.97542533081281</v>
      </c>
      <c r="N27" s="76">
        <f t="shared" si="13"/>
        <v>202.89855072463766</v>
      </c>
      <c r="O27" s="75">
        <f t="shared" si="14"/>
        <v>107.69230769230769</v>
      </c>
      <c r="P27" s="61">
        <f t="shared" si="15"/>
        <v>396.97542533081281</v>
      </c>
      <c r="Q27" s="76">
        <f t="shared" si="16"/>
        <v>202.89855072463766</v>
      </c>
      <c r="R27" s="75">
        <f t="shared" si="17"/>
        <v>107.69230769230769</v>
      </c>
      <c r="S27" s="61">
        <f t="shared" si="18"/>
        <v>0</v>
      </c>
      <c r="T27" s="76">
        <f t="shared" si="19"/>
        <v>0</v>
      </c>
      <c r="U27" s="75">
        <f t="shared" si="20"/>
        <v>80.769230769230774</v>
      </c>
      <c r="W27" s="80">
        <f t="shared" si="21"/>
        <v>1600</v>
      </c>
      <c r="X27" s="80">
        <f t="shared" si="21"/>
        <v>600</v>
      </c>
      <c r="Y27" s="80">
        <f t="shared" si="21"/>
        <v>500</v>
      </c>
      <c r="Z27" s="105">
        <v>800</v>
      </c>
      <c r="AA27" s="67">
        <v>200</v>
      </c>
      <c r="AB27" s="107">
        <v>100</v>
      </c>
      <c r="AC27" s="108">
        <v>400</v>
      </c>
      <c r="AD27" s="67">
        <v>200</v>
      </c>
      <c r="AE27" s="107">
        <v>100</v>
      </c>
      <c r="AF27" s="65">
        <v>400</v>
      </c>
      <c r="AG27" s="67">
        <v>200</v>
      </c>
      <c r="AH27" s="107">
        <v>200</v>
      </c>
      <c r="AI27" s="108">
        <v>0</v>
      </c>
      <c r="AJ27" s="106">
        <v>0</v>
      </c>
      <c r="AK27" s="109">
        <v>100</v>
      </c>
    </row>
    <row r="28" spans="1:37" x14ac:dyDescent="0.35">
      <c r="A28" s="35" t="s">
        <v>19</v>
      </c>
      <c r="B28" s="36" t="s">
        <v>18</v>
      </c>
      <c r="C28" s="37" t="s">
        <v>15</v>
      </c>
      <c r="D28" s="71">
        <v>840</v>
      </c>
      <c r="E28" s="62">
        <v>140</v>
      </c>
      <c r="F28" s="72">
        <v>840</v>
      </c>
      <c r="G28" s="80">
        <f t="shared" si="22"/>
        <v>1706.9943289224952</v>
      </c>
      <c r="H28" s="125">
        <f t="shared" si="7"/>
        <v>304.3478260869565</v>
      </c>
      <c r="I28" s="163">
        <f t="shared" si="8"/>
        <v>1400</v>
      </c>
      <c r="J28" s="61">
        <f t="shared" si="9"/>
        <v>853.49716446124762</v>
      </c>
      <c r="K28" s="66">
        <f t="shared" si="10"/>
        <v>101.44927536231883</v>
      </c>
      <c r="L28" s="63">
        <f t="shared" si="11"/>
        <v>215.38461538461539</v>
      </c>
      <c r="M28" s="61">
        <f t="shared" si="12"/>
        <v>426.74858223062381</v>
      </c>
      <c r="N28" s="76">
        <f t="shared" si="13"/>
        <v>101.44927536231883</v>
      </c>
      <c r="O28" s="75">
        <f t="shared" si="14"/>
        <v>430.76923076923077</v>
      </c>
      <c r="P28" s="61">
        <f t="shared" si="15"/>
        <v>426.74858223062381</v>
      </c>
      <c r="Q28" s="76">
        <f t="shared" si="16"/>
        <v>101.44927536231883</v>
      </c>
      <c r="R28" s="75">
        <f t="shared" si="17"/>
        <v>430.76923076923077</v>
      </c>
      <c r="S28" s="61">
        <f t="shared" si="18"/>
        <v>0</v>
      </c>
      <c r="T28" s="76">
        <f t="shared" si="19"/>
        <v>0</v>
      </c>
      <c r="U28" s="75">
        <f t="shared" si="20"/>
        <v>323.07692307692309</v>
      </c>
      <c r="W28" s="80">
        <f t="shared" si="21"/>
        <v>1700</v>
      </c>
      <c r="X28" s="80">
        <f t="shared" si="21"/>
        <v>300</v>
      </c>
      <c r="Y28" s="80">
        <f t="shared" si="21"/>
        <v>1700</v>
      </c>
      <c r="Z28" s="103">
        <v>900</v>
      </c>
      <c r="AA28" s="99">
        <v>100</v>
      </c>
      <c r="AB28" s="100">
        <v>300</v>
      </c>
      <c r="AC28" s="65">
        <v>400</v>
      </c>
      <c r="AD28" s="99">
        <v>100</v>
      </c>
      <c r="AE28" s="100">
        <v>500</v>
      </c>
      <c r="AF28" s="101">
        <v>400</v>
      </c>
      <c r="AG28" s="99">
        <v>100</v>
      </c>
      <c r="AH28" s="100">
        <v>500</v>
      </c>
      <c r="AI28" s="65">
        <v>0</v>
      </c>
      <c r="AJ28" s="67">
        <v>0</v>
      </c>
      <c r="AK28" s="102">
        <v>400</v>
      </c>
    </row>
    <row r="29" spans="1:37" x14ac:dyDescent="0.35">
      <c r="A29" s="35" t="s">
        <v>19</v>
      </c>
      <c r="B29" s="36" t="s">
        <v>18</v>
      </c>
      <c r="C29" s="37" t="s">
        <v>64</v>
      </c>
      <c r="D29" s="61">
        <v>840</v>
      </c>
      <c r="E29" s="66">
        <v>140</v>
      </c>
      <c r="F29" s="63">
        <v>420</v>
      </c>
      <c r="G29" s="80">
        <f t="shared" si="22"/>
        <v>1706.9943289224952</v>
      </c>
      <c r="H29" s="125">
        <f t="shared" si="7"/>
        <v>304.3478260869565</v>
      </c>
      <c r="I29" s="163">
        <f t="shared" si="8"/>
        <v>700</v>
      </c>
      <c r="J29" s="61">
        <f t="shared" si="9"/>
        <v>853.49716446124762</v>
      </c>
      <c r="K29" s="66">
        <f t="shared" si="10"/>
        <v>101.44927536231883</v>
      </c>
      <c r="L29" s="63">
        <f t="shared" si="11"/>
        <v>107.69230769230769</v>
      </c>
      <c r="M29" s="61">
        <f t="shared" si="12"/>
        <v>426.74858223062381</v>
      </c>
      <c r="N29" s="76">
        <f t="shared" si="13"/>
        <v>101.44927536231883</v>
      </c>
      <c r="O29" s="75">
        <f t="shared" si="14"/>
        <v>215.38461538461539</v>
      </c>
      <c r="P29" s="61">
        <f t="shared" si="15"/>
        <v>426.74858223062381</v>
      </c>
      <c r="Q29" s="76">
        <f t="shared" si="16"/>
        <v>101.44927536231883</v>
      </c>
      <c r="R29" s="75">
        <f t="shared" si="17"/>
        <v>215.38461538461539</v>
      </c>
      <c r="S29" s="61">
        <f t="shared" si="18"/>
        <v>0</v>
      </c>
      <c r="T29" s="76">
        <f t="shared" si="19"/>
        <v>0</v>
      </c>
      <c r="U29" s="75">
        <f t="shared" si="20"/>
        <v>161.53846153846155</v>
      </c>
      <c r="W29" s="80">
        <f t="shared" si="21"/>
        <v>1700</v>
      </c>
      <c r="X29" s="80">
        <f t="shared" si="21"/>
        <v>300</v>
      </c>
      <c r="Y29" s="80">
        <f t="shared" si="21"/>
        <v>900</v>
      </c>
      <c r="Z29" s="103">
        <v>900</v>
      </c>
      <c r="AA29" s="67">
        <v>100</v>
      </c>
      <c r="AB29" s="64">
        <v>200</v>
      </c>
      <c r="AC29" s="65">
        <v>400</v>
      </c>
      <c r="AD29" s="67">
        <v>100</v>
      </c>
      <c r="AE29" s="64">
        <v>200</v>
      </c>
      <c r="AF29" s="65">
        <v>400</v>
      </c>
      <c r="AG29" s="67">
        <v>100</v>
      </c>
      <c r="AH29" s="64">
        <v>300</v>
      </c>
      <c r="AI29" s="65">
        <v>0</v>
      </c>
      <c r="AJ29" s="67">
        <v>0</v>
      </c>
      <c r="AK29" s="104">
        <v>200</v>
      </c>
    </row>
    <row r="30" spans="1:37" ht="18.600000000000001" thickBot="1" x14ac:dyDescent="0.4">
      <c r="A30" s="35" t="s">
        <v>19</v>
      </c>
      <c r="B30" s="36" t="s">
        <v>18</v>
      </c>
      <c r="C30" s="37" t="s">
        <v>17</v>
      </c>
      <c r="D30" s="68">
        <v>840</v>
      </c>
      <c r="E30" s="69">
        <v>140</v>
      </c>
      <c r="F30" s="70">
        <v>210</v>
      </c>
      <c r="G30" s="80">
        <f t="shared" si="22"/>
        <v>1706.9943289224952</v>
      </c>
      <c r="H30" s="125">
        <f t="shared" si="7"/>
        <v>304.3478260869565</v>
      </c>
      <c r="I30" s="163">
        <f t="shared" si="8"/>
        <v>350</v>
      </c>
      <c r="J30" s="61">
        <f t="shared" si="9"/>
        <v>853.49716446124762</v>
      </c>
      <c r="K30" s="66">
        <f t="shared" si="10"/>
        <v>101.44927536231883</v>
      </c>
      <c r="L30" s="63">
        <f t="shared" si="11"/>
        <v>53.846153846153847</v>
      </c>
      <c r="M30" s="61">
        <f t="shared" si="12"/>
        <v>426.74858223062381</v>
      </c>
      <c r="N30" s="76">
        <f t="shared" si="13"/>
        <v>101.44927536231883</v>
      </c>
      <c r="O30" s="75">
        <f t="shared" si="14"/>
        <v>107.69230769230769</v>
      </c>
      <c r="P30" s="61">
        <f t="shared" si="15"/>
        <v>426.74858223062381</v>
      </c>
      <c r="Q30" s="76">
        <f t="shared" si="16"/>
        <v>101.44927536231883</v>
      </c>
      <c r="R30" s="75">
        <f t="shared" si="17"/>
        <v>107.69230769230769</v>
      </c>
      <c r="S30" s="61">
        <f t="shared" si="18"/>
        <v>0</v>
      </c>
      <c r="T30" s="76">
        <f t="shared" si="19"/>
        <v>0</v>
      </c>
      <c r="U30" s="75">
        <f t="shared" si="20"/>
        <v>80.769230769230774</v>
      </c>
      <c r="W30" s="80">
        <f t="shared" si="21"/>
        <v>1700</v>
      </c>
      <c r="X30" s="80">
        <f t="shared" si="21"/>
        <v>300</v>
      </c>
      <c r="Y30" s="80">
        <f t="shared" si="21"/>
        <v>500</v>
      </c>
      <c r="Z30" s="103">
        <v>900</v>
      </c>
      <c r="AA30" s="106">
        <v>100</v>
      </c>
      <c r="AB30" s="107">
        <v>100</v>
      </c>
      <c r="AC30" s="65">
        <v>400</v>
      </c>
      <c r="AD30" s="106">
        <v>100</v>
      </c>
      <c r="AE30" s="107">
        <v>100</v>
      </c>
      <c r="AF30" s="108">
        <v>400</v>
      </c>
      <c r="AG30" s="106">
        <v>100</v>
      </c>
      <c r="AH30" s="107">
        <v>200</v>
      </c>
      <c r="AI30" s="65">
        <v>0</v>
      </c>
      <c r="AJ30" s="67">
        <v>0</v>
      </c>
      <c r="AK30" s="109">
        <v>100</v>
      </c>
    </row>
    <row r="31" spans="1:37" x14ac:dyDescent="0.35">
      <c r="A31" s="38" t="s">
        <v>20</v>
      </c>
      <c r="B31" s="39" t="s">
        <v>14</v>
      </c>
      <c r="C31" s="40" t="s">
        <v>15</v>
      </c>
      <c r="D31" s="71">
        <v>420</v>
      </c>
      <c r="E31" s="62">
        <v>560</v>
      </c>
      <c r="F31" s="63">
        <v>840</v>
      </c>
      <c r="G31" s="80">
        <f t="shared" si="22"/>
        <v>436.6729678638942</v>
      </c>
      <c r="H31" s="125">
        <f t="shared" si="7"/>
        <v>1217.391304347826</v>
      </c>
      <c r="I31" s="163">
        <f t="shared" si="8"/>
        <v>1400</v>
      </c>
      <c r="J31" s="61">
        <f t="shared" si="9"/>
        <v>218.3364839319471</v>
      </c>
      <c r="K31" s="66">
        <f t="shared" si="10"/>
        <v>405.79710144927532</v>
      </c>
      <c r="L31" s="63">
        <f t="shared" si="11"/>
        <v>215.38461538461539</v>
      </c>
      <c r="M31" s="61">
        <f t="shared" si="12"/>
        <v>109.16824196597355</v>
      </c>
      <c r="N31" s="76">
        <f t="shared" si="13"/>
        <v>405.79710144927532</v>
      </c>
      <c r="O31" s="75">
        <f t="shared" si="14"/>
        <v>430.76923076923077</v>
      </c>
      <c r="P31" s="61">
        <f t="shared" si="15"/>
        <v>109.16824196597355</v>
      </c>
      <c r="Q31" s="76">
        <f t="shared" si="16"/>
        <v>405.79710144927532</v>
      </c>
      <c r="R31" s="75">
        <f t="shared" si="17"/>
        <v>430.76923076923077</v>
      </c>
      <c r="S31" s="61">
        <f t="shared" si="18"/>
        <v>0</v>
      </c>
      <c r="T31" s="76">
        <f t="shared" si="19"/>
        <v>0</v>
      </c>
      <c r="U31" s="75">
        <f t="shared" si="20"/>
        <v>323.07692307692309</v>
      </c>
      <c r="W31" s="80">
        <f t="shared" si="21"/>
        <v>400</v>
      </c>
      <c r="X31" s="80">
        <f t="shared" si="21"/>
        <v>1200</v>
      </c>
      <c r="Y31" s="80">
        <f t="shared" si="21"/>
        <v>1700</v>
      </c>
      <c r="Z31" s="98">
        <v>200</v>
      </c>
      <c r="AA31" s="99">
        <v>400</v>
      </c>
      <c r="AB31" s="100">
        <v>300</v>
      </c>
      <c r="AC31" s="101">
        <v>100</v>
      </c>
      <c r="AD31" s="99">
        <v>400</v>
      </c>
      <c r="AE31" s="100">
        <v>500</v>
      </c>
      <c r="AF31" s="101">
        <v>100</v>
      </c>
      <c r="AG31" s="99">
        <v>400</v>
      </c>
      <c r="AH31" s="100">
        <v>500</v>
      </c>
      <c r="AI31" s="101">
        <v>0</v>
      </c>
      <c r="AJ31" s="99">
        <v>0</v>
      </c>
      <c r="AK31" s="102">
        <v>400</v>
      </c>
    </row>
    <row r="32" spans="1:37" x14ac:dyDescent="0.35">
      <c r="A32" s="38" t="s">
        <v>20</v>
      </c>
      <c r="B32" s="39" t="s">
        <v>14</v>
      </c>
      <c r="C32" s="40" t="s">
        <v>64</v>
      </c>
      <c r="D32" s="61">
        <v>420</v>
      </c>
      <c r="E32" s="66">
        <v>560</v>
      </c>
      <c r="F32" s="63">
        <v>420</v>
      </c>
      <c r="G32" s="80">
        <f t="shared" si="22"/>
        <v>436.6729678638942</v>
      </c>
      <c r="H32" s="125">
        <f t="shared" si="7"/>
        <v>1217.391304347826</v>
      </c>
      <c r="I32" s="163">
        <f t="shared" si="8"/>
        <v>700</v>
      </c>
      <c r="J32" s="61">
        <f t="shared" si="9"/>
        <v>218.3364839319471</v>
      </c>
      <c r="K32" s="66">
        <f t="shared" si="10"/>
        <v>405.79710144927532</v>
      </c>
      <c r="L32" s="63">
        <f t="shared" si="11"/>
        <v>107.69230769230769</v>
      </c>
      <c r="M32" s="61">
        <f t="shared" si="12"/>
        <v>109.16824196597355</v>
      </c>
      <c r="N32" s="76">
        <f t="shared" si="13"/>
        <v>405.79710144927532</v>
      </c>
      <c r="O32" s="75">
        <f t="shared" si="14"/>
        <v>215.38461538461539</v>
      </c>
      <c r="P32" s="61">
        <f t="shared" si="15"/>
        <v>109.16824196597355</v>
      </c>
      <c r="Q32" s="76">
        <f t="shared" si="16"/>
        <v>405.79710144927532</v>
      </c>
      <c r="R32" s="75">
        <f t="shared" si="17"/>
        <v>215.38461538461539</v>
      </c>
      <c r="S32" s="61">
        <f t="shared" si="18"/>
        <v>0</v>
      </c>
      <c r="T32" s="76">
        <f t="shared" si="19"/>
        <v>0</v>
      </c>
      <c r="U32" s="75">
        <f t="shared" si="20"/>
        <v>161.53846153846155</v>
      </c>
      <c r="W32" s="80">
        <f t="shared" si="21"/>
        <v>400</v>
      </c>
      <c r="X32" s="80">
        <f t="shared" si="21"/>
        <v>1200</v>
      </c>
      <c r="Y32" s="80">
        <f t="shared" si="21"/>
        <v>900</v>
      </c>
      <c r="Z32" s="103">
        <v>200</v>
      </c>
      <c r="AA32" s="67">
        <v>400</v>
      </c>
      <c r="AB32" s="64">
        <v>200</v>
      </c>
      <c r="AC32" s="65">
        <v>100</v>
      </c>
      <c r="AD32" s="67">
        <v>400</v>
      </c>
      <c r="AE32" s="64">
        <v>200</v>
      </c>
      <c r="AF32" s="65">
        <v>100</v>
      </c>
      <c r="AG32" s="67">
        <v>400</v>
      </c>
      <c r="AH32" s="64">
        <v>300</v>
      </c>
      <c r="AI32" s="65">
        <v>0</v>
      </c>
      <c r="AJ32" s="67">
        <v>0</v>
      </c>
      <c r="AK32" s="104">
        <v>200</v>
      </c>
    </row>
    <row r="33" spans="1:37" ht="18.600000000000001" thickBot="1" x14ac:dyDescent="0.4">
      <c r="A33" s="38" t="s">
        <v>20</v>
      </c>
      <c r="B33" s="39" t="s">
        <v>14</v>
      </c>
      <c r="C33" s="40" t="s">
        <v>17</v>
      </c>
      <c r="D33" s="68">
        <v>420</v>
      </c>
      <c r="E33" s="69">
        <v>560</v>
      </c>
      <c r="F33" s="70">
        <v>210</v>
      </c>
      <c r="G33" s="80">
        <f t="shared" si="22"/>
        <v>436.6729678638942</v>
      </c>
      <c r="H33" s="125">
        <f t="shared" si="7"/>
        <v>1217.391304347826</v>
      </c>
      <c r="I33" s="163">
        <f t="shared" si="8"/>
        <v>350</v>
      </c>
      <c r="J33" s="61">
        <f t="shared" si="9"/>
        <v>218.3364839319471</v>
      </c>
      <c r="K33" s="66">
        <f t="shared" si="10"/>
        <v>405.79710144927532</v>
      </c>
      <c r="L33" s="63">
        <f t="shared" si="11"/>
        <v>53.846153846153847</v>
      </c>
      <c r="M33" s="61">
        <f t="shared" si="12"/>
        <v>109.16824196597355</v>
      </c>
      <c r="N33" s="76">
        <f t="shared" si="13"/>
        <v>405.79710144927532</v>
      </c>
      <c r="O33" s="75">
        <f t="shared" si="14"/>
        <v>107.69230769230769</v>
      </c>
      <c r="P33" s="61">
        <f t="shared" si="15"/>
        <v>109.16824196597355</v>
      </c>
      <c r="Q33" s="76">
        <f t="shared" si="16"/>
        <v>405.79710144927532</v>
      </c>
      <c r="R33" s="75">
        <f t="shared" si="17"/>
        <v>107.69230769230769</v>
      </c>
      <c r="S33" s="61">
        <f t="shared" si="18"/>
        <v>0</v>
      </c>
      <c r="T33" s="76">
        <f t="shared" si="19"/>
        <v>0</v>
      </c>
      <c r="U33" s="75">
        <f t="shared" si="20"/>
        <v>80.769230769230774</v>
      </c>
      <c r="W33" s="80">
        <f t="shared" si="21"/>
        <v>400</v>
      </c>
      <c r="X33" s="80">
        <f t="shared" si="21"/>
        <v>1200</v>
      </c>
      <c r="Y33" s="80">
        <f t="shared" si="21"/>
        <v>500</v>
      </c>
      <c r="Z33" s="105">
        <v>200</v>
      </c>
      <c r="AA33" s="106">
        <v>400</v>
      </c>
      <c r="AB33" s="107">
        <v>100</v>
      </c>
      <c r="AC33" s="108">
        <v>100</v>
      </c>
      <c r="AD33" s="106">
        <v>400</v>
      </c>
      <c r="AE33" s="107">
        <v>100</v>
      </c>
      <c r="AF33" s="108">
        <v>100</v>
      </c>
      <c r="AG33" s="106">
        <v>400</v>
      </c>
      <c r="AH33" s="107">
        <v>200</v>
      </c>
      <c r="AI33" s="108">
        <v>0</v>
      </c>
      <c r="AJ33" s="106">
        <v>0</v>
      </c>
      <c r="AK33" s="109">
        <v>100</v>
      </c>
    </row>
    <row r="34" spans="1:37" x14ac:dyDescent="0.35">
      <c r="A34" s="41" t="s">
        <v>20</v>
      </c>
      <c r="B34" s="42" t="s">
        <v>63</v>
      </c>
      <c r="C34" s="43" t="s">
        <v>15</v>
      </c>
      <c r="D34" s="71">
        <v>420</v>
      </c>
      <c r="E34" s="62">
        <v>280</v>
      </c>
      <c r="F34" s="72">
        <v>840</v>
      </c>
      <c r="G34" s="80">
        <f t="shared" si="22"/>
        <v>674.85822306238185</v>
      </c>
      <c r="H34" s="125">
        <f t="shared" si="7"/>
        <v>608.695652173913</v>
      </c>
      <c r="I34" s="163">
        <f t="shared" si="8"/>
        <v>1400</v>
      </c>
      <c r="J34" s="61">
        <f t="shared" si="9"/>
        <v>337.42911153119093</v>
      </c>
      <c r="K34" s="66">
        <f t="shared" si="10"/>
        <v>202.89855072463766</v>
      </c>
      <c r="L34" s="63">
        <f t="shared" si="11"/>
        <v>215.38461538461539</v>
      </c>
      <c r="M34" s="61">
        <f t="shared" si="12"/>
        <v>168.71455576559546</v>
      </c>
      <c r="N34" s="76">
        <f t="shared" si="13"/>
        <v>202.89855072463766</v>
      </c>
      <c r="O34" s="75">
        <f t="shared" si="14"/>
        <v>430.76923076923077</v>
      </c>
      <c r="P34" s="61">
        <f t="shared" si="15"/>
        <v>168.71455576559546</v>
      </c>
      <c r="Q34" s="76">
        <f t="shared" si="16"/>
        <v>202.89855072463766</v>
      </c>
      <c r="R34" s="75">
        <f t="shared" si="17"/>
        <v>430.76923076923077</v>
      </c>
      <c r="S34" s="61">
        <f t="shared" si="18"/>
        <v>0</v>
      </c>
      <c r="T34" s="76">
        <f t="shared" si="19"/>
        <v>0</v>
      </c>
      <c r="U34" s="75">
        <f t="shared" si="20"/>
        <v>323.07692307692309</v>
      </c>
      <c r="W34" s="80">
        <f t="shared" si="21"/>
        <v>700</v>
      </c>
      <c r="X34" s="80">
        <f t="shared" si="21"/>
        <v>600</v>
      </c>
      <c r="Y34" s="80">
        <f t="shared" si="21"/>
        <v>1700</v>
      </c>
      <c r="Z34" s="103">
        <v>300</v>
      </c>
      <c r="AA34" s="67">
        <v>200</v>
      </c>
      <c r="AB34" s="100">
        <v>300</v>
      </c>
      <c r="AC34" s="65">
        <v>200</v>
      </c>
      <c r="AD34" s="67">
        <v>200</v>
      </c>
      <c r="AE34" s="100">
        <v>500</v>
      </c>
      <c r="AF34" s="65">
        <v>200</v>
      </c>
      <c r="AG34" s="67">
        <v>200</v>
      </c>
      <c r="AH34" s="100">
        <v>500</v>
      </c>
      <c r="AI34" s="65">
        <v>0</v>
      </c>
      <c r="AJ34" s="67">
        <v>0</v>
      </c>
      <c r="AK34" s="102">
        <v>400</v>
      </c>
    </row>
    <row r="35" spans="1:37" x14ac:dyDescent="0.35">
      <c r="A35" s="41" t="s">
        <v>20</v>
      </c>
      <c r="B35" s="42" t="s">
        <v>63</v>
      </c>
      <c r="C35" s="43" t="s">
        <v>64</v>
      </c>
      <c r="D35" s="61">
        <v>420</v>
      </c>
      <c r="E35" s="66">
        <v>280</v>
      </c>
      <c r="F35" s="63">
        <v>420</v>
      </c>
      <c r="G35" s="80">
        <f t="shared" si="22"/>
        <v>674.85822306238185</v>
      </c>
      <c r="H35" s="125">
        <f t="shared" si="7"/>
        <v>608.695652173913</v>
      </c>
      <c r="I35" s="163">
        <f t="shared" si="8"/>
        <v>700</v>
      </c>
      <c r="J35" s="61">
        <f t="shared" si="9"/>
        <v>337.42911153119093</v>
      </c>
      <c r="K35" s="66">
        <f t="shared" si="10"/>
        <v>202.89855072463766</v>
      </c>
      <c r="L35" s="63">
        <f t="shared" si="11"/>
        <v>107.69230769230769</v>
      </c>
      <c r="M35" s="61">
        <f t="shared" si="12"/>
        <v>168.71455576559546</v>
      </c>
      <c r="N35" s="76">
        <f t="shared" si="13"/>
        <v>202.89855072463766</v>
      </c>
      <c r="O35" s="75">
        <f t="shared" si="14"/>
        <v>215.38461538461539</v>
      </c>
      <c r="P35" s="61">
        <f t="shared" si="15"/>
        <v>168.71455576559546</v>
      </c>
      <c r="Q35" s="76">
        <f t="shared" si="16"/>
        <v>202.89855072463766</v>
      </c>
      <c r="R35" s="75">
        <f t="shared" si="17"/>
        <v>215.38461538461539</v>
      </c>
      <c r="S35" s="61">
        <f t="shared" si="18"/>
        <v>0</v>
      </c>
      <c r="T35" s="76">
        <f t="shared" si="19"/>
        <v>0</v>
      </c>
      <c r="U35" s="75">
        <f t="shared" si="20"/>
        <v>161.53846153846155</v>
      </c>
      <c r="W35" s="80">
        <f t="shared" si="21"/>
        <v>700</v>
      </c>
      <c r="X35" s="80">
        <f t="shared" si="21"/>
        <v>600</v>
      </c>
      <c r="Y35" s="80">
        <f t="shared" si="21"/>
        <v>900</v>
      </c>
      <c r="Z35" s="103">
        <v>300</v>
      </c>
      <c r="AA35" s="67">
        <v>200</v>
      </c>
      <c r="AB35" s="64">
        <v>200</v>
      </c>
      <c r="AC35" s="65">
        <v>200</v>
      </c>
      <c r="AD35" s="67">
        <v>200</v>
      </c>
      <c r="AE35" s="64">
        <v>200</v>
      </c>
      <c r="AF35" s="65">
        <v>200</v>
      </c>
      <c r="AG35" s="67">
        <v>200</v>
      </c>
      <c r="AH35" s="64">
        <v>300</v>
      </c>
      <c r="AI35" s="65">
        <v>0</v>
      </c>
      <c r="AJ35" s="67">
        <v>0</v>
      </c>
      <c r="AK35" s="104">
        <v>200</v>
      </c>
    </row>
    <row r="36" spans="1:37" ht="18.600000000000001" thickBot="1" x14ac:dyDescent="0.4">
      <c r="A36" s="41" t="s">
        <v>20</v>
      </c>
      <c r="B36" s="42" t="s">
        <v>63</v>
      </c>
      <c r="C36" s="43" t="s">
        <v>17</v>
      </c>
      <c r="D36" s="68">
        <v>420</v>
      </c>
      <c r="E36" s="69">
        <v>280</v>
      </c>
      <c r="F36" s="70">
        <v>210</v>
      </c>
      <c r="G36" s="80">
        <f t="shared" si="22"/>
        <v>674.85822306238185</v>
      </c>
      <c r="H36" s="125">
        <f t="shared" si="7"/>
        <v>608.695652173913</v>
      </c>
      <c r="I36" s="163">
        <f t="shared" si="8"/>
        <v>350</v>
      </c>
      <c r="J36" s="61">
        <f t="shared" si="9"/>
        <v>337.42911153119093</v>
      </c>
      <c r="K36" s="66">
        <f t="shared" si="10"/>
        <v>202.89855072463766</v>
      </c>
      <c r="L36" s="63">
        <f t="shared" si="11"/>
        <v>53.846153846153847</v>
      </c>
      <c r="M36" s="61">
        <f t="shared" si="12"/>
        <v>168.71455576559546</v>
      </c>
      <c r="N36" s="76">
        <f t="shared" si="13"/>
        <v>202.89855072463766</v>
      </c>
      <c r="O36" s="75">
        <f t="shared" si="14"/>
        <v>107.69230769230769</v>
      </c>
      <c r="P36" s="61">
        <f t="shared" si="15"/>
        <v>168.71455576559546</v>
      </c>
      <c r="Q36" s="76">
        <f t="shared" si="16"/>
        <v>202.89855072463766</v>
      </c>
      <c r="R36" s="75">
        <f t="shared" si="17"/>
        <v>107.69230769230769</v>
      </c>
      <c r="S36" s="61">
        <f t="shared" si="18"/>
        <v>0</v>
      </c>
      <c r="T36" s="76">
        <f t="shared" si="19"/>
        <v>0</v>
      </c>
      <c r="U36" s="75">
        <f t="shared" si="20"/>
        <v>80.769230769230774</v>
      </c>
      <c r="W36" s="80">
        <f t="shared" si="21"/>
        <v>700</v>
      </c>
      <c r="X36" s="80">
        <f t="shared" si="21"/>
        <v>600</v>
      </c>
      <c r="Y36" s="80">
        <f t="shared" si="21"/>
        <v>500</v>
      </c>
      <c r="Z36" s="103">
        <v>300</v>
      </c>
      <c r="AA36" s="67">
        <v>200</v>
      </c>
      <c r="AB36" s="107">
        <v>100</v>
      </c>
      <c r="AC36" s="65">
        <v>200</v>
      </c>
      <c r="AD36" s="67">
        <v>200</v>
      </c>
      <c r="AE36" s="107">
        <v>100</v>
      </c>
      <c r="AF36" s="65">
        <v>200</v>
      </c>
      <c r="AG36" s="67">
        <v>200</v>
      </c>
      <c r="AH36" s="107">
        <v>200</v>
      </c>
      <c r="AI36" s="65">
        <v>0</v>
      </c>
      <c r="AJ36" s="67">
        <v>0</v>
      </c>
      <c r="AK36" s="109">
        <v>100</v>
      </c>
    </row>
    <row r="37" spans="1:37" x14ac:dyDescent="0.35">
      <c r="A37" s="44" t="s">
        <v>20</v>
      </c>
      <c r="B37" s="45" t="s">
        <v>18</v>
      </c>
      <c r="C37" s="46" t="s">
        <v>15</v>
      </c>
      <c r="D37" s="71">
        <v>420</v>
      </c>
      <c r="E37" s="66">
        <v>140</v>
      </c>
      <c r="F37" s="63">
        <v>840</v>
      </c>
      <c r="G37" s="80">
        <f t="shared" si="22"/>
        <v>793.95085066162562</v>
      </c>
      <c r="H37" s="125">
        <f t="shared" si="7"/>
        <v>304.3478260869565</v>
      </c>
      <c r="I37" s="163">
        <f t="shared" si="8"/>
        <v>1400</v>
      </c>
      <c r="J37" s="61">
        <f t="shared" si="9"/>
        <v>396.97542533081281</v>
      </c>
      <c r="K37" s="66">
        <f t="shared" si="10"/>
        <v>101.44927536231883</v>
      </c>
      <c r="L37" s="63">
        <f t="shared" si="11"/>
        <v>215.38461538461539</v>
      </c>
      <c r="M37" s="61">
        <f t="shared" si="12"/>
        <v>198.48771266540641</v>
      </c>
      <c r="N37" s="76">
        <f t="shared" si="13"/>
        <v>101.44927536231883</v>
      </c>
      <c r="O37" s="75">
        <f t="shared" si="14"/>
        <v>430.76923076923077</v>
      </c>
      <c r="P37" s="61">
        <f t="shared" si="15"/>
        <v>198.48771266540641</v>
      </c>
      <c r="Q37" s="76">
        <f t="shared" si="16"/>
        <v>101.44927536231883</v>
      </c>
      <c r="R37" s="75">
        <f t="shared" si="17"/>
        <v>430.76923076923077</v>
      </c>
      <c r="S37" s="61">
        <f t="shared" si="18"/>
        <v>0</v>
      </c>
      <c r="T37" s="76">
        <f t="shared" si="19"/>
        <v>0</v>
      </c>
      <c r="U37" s="75">
        <f t="shared" si="20"/>
        <v>323.07692307692309</v>
      </c>
      <c r="W37" s="80">
        <f t="shared" si="21"/>
        <v>800</v>
      </c>
      <c r="X37" s="80">
        <f t="shared" si="21"/>
        <v>300</v>
      </c>
      <c r="Y37" s="80">
        <f t="shared" si="21"/>
        <v>1700</v>
      </c>
      <c r="Z37" s="98">
        <v>400</v>
      </c>
      <c r="AA37" s="99">
        <v>100</v>
      </c>
      <c r="AB37" s="100">
        <v>300</v>
      </c>
      <c r="AC37" s="101">
        <v>200</v>
      </c>
      <c r="AD37" s="99">
        <v>100</v>
      </c>
      <c r="AE37" s="100">
        <v>500</v>
      </c>
      <c r="AF37" s="101">
        <v>200</v>
      </c>
      <c r="AG37" s="99">
        <v>100</v>
      </c>
      <c r="AH37" s="100">
        <v>500</v>
      </c>
      <c r="AI37" s="101">
        <v>0</v>
      </c>
      <c r="AJ37" s="99">
        <v>0</v>
      </c>
      <c r="AK37" s="102">
        <v>400</v>
      </c>
    </row>
    <row r="38" spans="1:37" x14ac:dyDescent="0.35">
      <c r="A38" s="44" t="s">
        <v>20</v>
      </c>
      <c r="B38" s="45" t="s">
        <v>18</v>
      </c>
      <c r="C38" s="46" t="s">
        <v>64</v>
      </c>
      <c r="D38" s="61">
        <v>420</v>
      </c>
      <c r="E38" s="66">
        <v>140</v>
      </c>
      <c r="F38" s="63">
        <v>420</v>
      </c>
      <c r="G38" s="80">
        <f t="shared" si="22"/>
        <v>793.95085066162562</v>
      </c>
      <c r="H38" s="125">
        <f t="shared" si="7"/>
        <v>304.3478260869565</v>
      </c>
      <c r="I38" s="163">
        <f t="shared" si="8"/>
        <v>700</v>
      </c>
      <c r="J38" s="61">
        <f t="shared" si="9"/>
        <v>396.97542533081281</v>
      </c>
      <c r="K38" s="66">
        <f t="shared" si="10"/>
        <v>101.44927536231883</v>
      </c>
      <c r="L38" s="63">
        <f t="shared" si="11"/>
        <v>107.69230769230769</v>
      </c>
      <c r="M38" s="61">
        <f t="shared" si="12"/>
        <v>198.48771266540641</v>
      </c>
      <c r="N38" s="76">
        <f t="shared" si="13"/>
        <v>101.44927536231883</v>
      </c>
      <c r="O38" s="75">
        <f t="shared" si="14"/>
        <v>215.38461538461539</v>
      </c>
      <c r="P38" s="61">
        <f t="shared" si="15"/>
        <v>198.48771266540641</v>
      </c>
      <c r="Q38" s="76">
        <f t="shared" si="16"/>
        <v>101.44927536231883</v>
      </c>
      <c r="R38" s="75">
        <f t="shared" si="17"/>
        <v>215.38461538461539</v>
      </c>
      <c r="S38" s="61">
        <f t="shared" si="18"/>
        <v>0</v>
      </c>
      <c r="T38" s="76">
        <f t="shared" si="19"/>
        <v>0</v>
      </c>
      <c r="U38" s="75">
        <f t="shared" si="20"/>
        <v>161.53846153846155</v>
      </c>
      <c r="W38" s="80">
        <f t="shared" si="21"/>
        <v>800</v>
      </c>
      <c r="X38" s="80">
        <f t="shared" si="21"/>
        <v>300</v>
      </c>
      <c r="Y38" s="80">
        <f t="shared" si="21"/>
        <v>900</v>
      </c>
      <c r="Z38" s="103">
        <v>400</v>
      </c>
      <c r="AA38" s="67">
        <v>100</v>
      </c>
      <c r="AB38" s="64">
        <v>200</v>
      </c>
      <c r="AC38" s="65">
        <v>200</v>
      </c>
      <c r="AD38" s="67">
        <v>100</v>
      </c>
      <c r="AE38" s="64">
        <v>200</v>
      </c>
      <c r="AF38" s="65">
        <v>200</v>
      </c>
      <c r="AG38" s="67">
        <v>100</v>
      </c>
      <c r="AH38" s="64">
        <v>300</v>
      </c>
      <c r="AI38" s="65">
        <v>0</v>
      </c>
      <c r="AJ38" s="67">
        <v>0</v>
      </c>
      <c r="AK38" s="104">
        <v>200</v>
      </c>
    </row>
    <row r="39" spans="1:37" ht="18.600000000000001" thickBot="1" x14ac:dyDescent="0.4">
      <c r="A39" s="47" t="s">
        <v>20</v>
      </c>
      <c r="B39" s="48" t="s">
        <v>18</v>
      </c>
      <c r="C39" s="49" t="s">
        <v>17</v>
      </c>
      <c r="D39" s="68">
        <v>420</v>
      </c>
      <c r="E39" s="69">
        <v>140</v>
      </c>
      <c r="F39" s="70">
        <v>210</v>
      </c>
      <c r="G39" s="126">
        <f t="shared" si="22"/>
        <v>793.95085066162562</v>
      </c>
      <c r="H39" s="127">
        <f t="shared" si="7"/>
        <v>304.3478260869565</v>
      </c>
      <c r="I39" s="163">
        <f t="shared" si="8"/>
        <v>350</v>
      </c>
      <c r="J39" s="68">
        <f t="shared" si="9"/>
        <v>396.97542533081281</v>
      </c>
      <c r="K39" s="69">
        <f t="shared" si="10"/>
        <v>101.44927536231883</v>
      </c>
      <c r="L39" s="70">
        <f t="shared" si="11"/>
        <v>53.846153846153847</v>
      </c>
      <c r="M39" s="68">
        <f t="shared" si="12"/>
        <v>198.48771266540641</v>
      </c>
      <c r="N39" s="78">
        <f t="shared" si="13"/>
        <v>101.44927536231883</v>
      </c>
      <c r="O39" s="79">
        <f t="shared" si="14"/>
        <v>107.69230769230769</v>
      </c>
      <c r="P39" s="68">
        <f t="shared" si="15"/>
        <v>198.48771266540641</v>
      </c>
      <c r="Q39" s="78">
        <f t="shared" si="16"/>
        <v>101.44927536231883</v>
      </c>
      <c r="R39" s="79">
        <f t="shared" si="17"/>
        <v>107.69230769230769</v>
      </c>
      <c r="S39" s="68">
        <f t="shared" si="18"/>
        <v>0</v>
      </c>
      <c r="T39" s="78">
        <f t="shared" si="19"/>
        <v>0</v>
      </c>
      <c r="U39" s="79">
        <f t="shared" si="20"/>
        <v>80.769230769230774</v>
      </c>
      <c r="W39" s="80">
        <f t="shared" si="21"/>
        <v>800</v>
      </c>
      <c r="X39" s="80">
        <f t="shared" si="21"/>
        <v>300</v>
      </c>
      <c r="Y39" s="80">
        <f t="shared" si="21"/>
        <v>500</v>
      </c>
      <c r="Z39" s="105">
        <v>400</v>
      </c>
      <c r="AA39" s="106">
        <v>100</v>
      </c>
      <c r="AB39" s="107">
        <v>100</v>
      </c>
      <c r="AC39" s="108">
        <v>200</v>
      </c>
      <c r="AD39" s="106">
        <v>100</v>
      </c>
      <c r="AE39" s="107">
        <v>100</v>
      </c>
      <c r="AF39" s="108">
        <v>200</v>
      </c>
      <c r="AG39" s="106">
        <v>100</v>
      </c>
      <c r="AH39" s="107">
        <v>200</v>
      </c>
      <c r="AI39" s="108">
        <v>0</v>
      </c>
      <c r="AJ39" s="106">
        <v>0</v>
      </c>
      <c r="AK39" s="109">
        <v>100</v>
      </c>
    </row>
    <row r="40" spans="1:37" x14ac:dyDescent="0.35">
      <c r="L40" s="51"/>
    </row>
  </sheetData>
  <mergeCells count="21">
    <mergeCell ref="D4:F4"/>
    <mergeCell ref="G4:I4"/>
    <mergeCell ref="D1:I1"/>
    <mergeCell ref="J1:L1"/>
    <mergeCell ref="M1:O1"/>
    <mergeCell ref="G3:I3"/>
    <mergeCell ref="J3:L3"/>
    <mergeCell ref="M3:O3"/>
    <mergeCell ref="D2:I2"/>
    <mergeCell ref="J2:L2"/>
    <mergeCell ref="M2:O2"/>
    <mergeCell ref="AI11:AK11"/>
    <mergeCell ref="P3:R3"/>
    <mergeCell ref="S3:U3"/>
    <mergeCell ref="P2:R2"/>
    <mergeCell ref="S2:U2"/>
    <mergeCell ref="P1:R1"/>
    <mergeCell ref="S1:U1"/>
    <mergeCell ref="Z11:AB11"/>
    <mergeCell ref="AC11:AE11"/>
    <mergeCell ref="AF11:AH11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56688-FD8F-4089-B435-5C0967AEADC6}">
  <sheetPr>
    <tabColor rgb="FFCCFFCC"/>
  </sheetPr>
  <dimension ref="A1:AK40"/>
  <sheetViews>
    <sheetView topLeftCell="D1" zoomScale="70" zoomScaleNormal="70" workbookViewId="0">
      <selection activeCell="AB19" sqref="AB19"/>
    </sheetView>
  </sheetViews>
  <sheetFormatPr defaultRowHeight="18" x14ac:dyDescent="0.35"/>
  <cols>
    <col min="1" max="1" width="6.109375" style="3" customWidth="1"/>
    <col min="2" max="2" width="7.5546875" style="3" customWidth="1"/>
    <col min="3" max="3" width="5.88671875" style="3" customWidth="1"/>
    <col min="4" max="4" width="6.77734375" style="3" customWidth="1"/>
    <col min="5" max="5" width="6.5546875" style="3" customWidth="1"/>
    <col min="6" max="6" width="7.21875" style="3" customWidth="1"/>
    <col min="7" max="7" width="6" style="3" bestFit="1" customWidth="1"/>
    <col min="8" max="8" width="7" style="3" bestFit="1" customWidth="1"/>
    <col min="9" max="10" width="6" style="3" bestFit="1" customWidth="1"/>
    <col min="11" max="11" width="7" style="3" bestFit="1" customWidth="1"/>
    <col min="12" max="13" width="6" style="3" bestFit="1" customWidth="1"/>
    <col min="14" max="14" width="7" style="3" bestFit="1" customWidth="1"/>
    <col min="15" max="16" width="6" style="3" bestFit="1" customWidth="1"/>
    <col min="17" max="17" width="7" style="3" bestFit="1" customWidth="1"/>
    <col min="18" max="19" width="6" style="3" bestFit="1" customWidth="1"/>
    <col min="20" max="20" width="7" style="3" bestFit="1" customWidth="1"/>
    <col min="21" max="21" width="6" style="3" bestFit="1" customWidth="1"/>
    <col min="22" max="16384" width="8.88671875" style="3"/>
  </cols>
  <sheetData>
    <row r="1" spans="1:37" ht="15" customHeight="1" x14ac:dyDescent="0.35">
      <c r="A1" s="1" t="s">
        <v>0</v>
      </c>
      <c r="B1" s="1" t="s">
        <v>2</v>
      </c>
      <c r="C1" s="2" t="s">
        <v>4</v>
      </c>
      <c r="D1" s="153" t="s">
        <v>5</v>
      </c>
      <c r="E1" s="153"/>
      <c r="F1" s="153"/>
      <c r="G1" s="153"/>
      <c r="H1" s="153"/>
      <c r="I1" s="154"/>
      <c r="J1" s="152" t="s">
        <v>21</v>
      </c>
      <c r="K1" s="153"/>
      <c r="L1" s="154"/>
      <c r="M1" s="152" t="s">
        <v>24</v>
      </c>
      <c r="N1" s="153"/>
      <c r="O1" s="154"/>
      <c r="P1" s="152" t="s">
        <v>26</v>
      </c>
      <c r="Q1" s="153"/>
      <c r="R1" s="154"/>
      <c r="S1" s="152" t="s">
        <v>28</v>
      </c>
      <c r="T1" s="153"/>
      <c r="U1" s="154"/>
    </row>
    <row r="2" spans="1:37" ht="18.600000000000001" thickBot="1" x14ac:dyDescent="0.4">
      <c r="A2" s="4" t="s">
        <v>1</v>
      </c>
      <c r="B2" s="4" t="s">
        <v>3</v>
      </c>
      <c r="C2" s="5" t="s">
        <v>3</v>
      </c>
      <c r="D2" s="159" t="s">
        <v>6</v>
      </c>
      <c r="E2" s="159"/>
      <c r="F2" s="159"/>
      <c r="G2" s="159"/>
      <c r="H2" s="159"/>
      <c r="I2" s="160"/>
      <c r="J2" s="158" t="s">
        <v>22</v>
      </c>
      <c r="K2" s="159"/>
      <c r="L2" s="160"/>
      <c r="M2" s="158" t="s">
        <v>25</v>
      </c>
      <c r="N2" s="159"/>
      <c r="O2" s="160"/>
      <c r="P2" s="158" t="s">
        <v>27</v>
      </c>
      <c r="Q2" s="159"/>
      <c r="R2" s="160"/>
      <c r="S2" s="158" t="s">
        <v>29</v>
      </c>
      <c r="T2" s="159"/>
      <c r="U2" s="160"/>
    </row>
    <row r="3" spans="1:37" ht="18.600000000000001" thickBot="1" x14ac:dyDescent="0.4">
      <c r="A3" s="6"/>
      <c r="B3" s="6"/>
      <c r="C3" s="7"/>
      <c r="D3" s="8" t="s">
        <v>30</v>
      </c>
      <c r="E3" s="9"/>
      <c r="F3" s="10"/>
      <c r="G3" s="155" t="s">
        <v>32</v>
      </c>
      <c r="H3" s="156"/>
      <c r="I3" s="157"/>
      <c r="J3" s="158" t="s">
        <v>23</v>
      </c>
      <c r="K3" s="159"/>
      <c r="L3" s="160"/>
      <c r="M3" s="158" t="s">
        <v>23</v>
      </c>
      <c r="N3" s="159"/>
      <c r="O3" s="160"/>
      <c r="P3" s="158" t="s">
        <v>23</v>
      </c>
      <c r="Q3" s="159"/>
      <c r="R3" s="160"/>
      <c r="S3" s="158" t="s">
        <v>23</v>
      </c>
      <c r="T3" s="159"/>
      <c r="U3" s="160"/>
    </row>
    <row r="4" spans="1:37" ht="18.600000000000001" thickBot="1" x14ac:dyDescent="0.4">
      <c r="A4" s="6"/>
      <c r="B4" s="6"/>
      <c r="C4" s="7"/>
      <c r="D4" s="155" t="s">
        <v>31</v>
      </c>
      <c r="E4" s="156"/>
      <c r="F4" s="157"/>
      <c r="G4" s="155" t="s">
        <v>31</v>
      </c>
      <c r="H4" s="156"/>
      <c r="I4" s="157"/>
      <c r="J4" s="4"/>
      <c r="K4" s="11"/>
      <c r="L4" s="12"/>
      <c r="M4" s="4"/>
      <c r="N4" s="11"/>
      <c r="O4" s="12"/>
      <c r="P4" s="4"/>
      <c r="Q4" s="11"/>
      <c r="R4" s="12"/>
      <c r="S4" s="4"/>
      <c r="T4" s="11"/>
      <c r="U4" s="12"/>
    </row>
    <row r="5" spans="1:37" ht="18.600000000000001" thickBot="1" x14ac:dyDescent="0.4">
      <c r="A5" s="13"/>
      <c r="B5" s="13"/>
      <c r="C5" s="14"/>
      <c r="D5" s="15" t="s">
        <v>7</v>
      </c>
      <c r="E5" s="15" t="s">
        <v>8</v>
      </c>
      <c r="F5" s="15" t="s">
        <v>9</v>
      </c>
      <c r="G5" s="16" t="s">
        <v>10</v>
      </c>
      <c r="H5" s="15" t="s">
        <v>11</v>
      </c>
      <c r="I5" s="162" t="s">
        <v>47</v>
      </c>
      <c r="J5" s="18" t="s">
        <v>10</v>
      </c>
      <c r="K5" s="15" t="s">
        <v>11</v>
      </c>
      <c r="L5" s="162" t="s">
        <v>47</v>
      </c>
      <c r="M5" s="18" t="s">
        <v>10</v>
      </c>
      <c r="N5" s="15" t="s">
        <v>11</v>
      </c>
      <c r="O5" s="162" t="s">
        <v>47</v>
      </c>
      <c r="P5" s="18" t="s">
        <v>10</v>
      </c>
      <c r="Q5" s="15" t="s">
        <v>11</v>
      </c>
      <c r="R5" s="162" t="s">
        <v>47</v>
      </c>
      <c r="S5" s="18" t="s">
        <v>10</v>
      </c>
      <c r="T5" s="15" t="s">
        <v>11</v>
      </c>
      <c r="U5" s="162" t="s">
        <v>47</v>
      </c>
    </row>
    <row r="6" spans="1:37" ht="18.600000000000001" thickBot="1" x14ac:dyDescent="0.4">
      <c r="A6" s="13"/>
      <c r="B6" s="13" t="s">
        <v>33</v>
      </c>
      <c r="C6" s="50"/>
      <c r="D6" s="52">
        <v>50</v>
      </c>
      <c r="E6" s="52">
        <v>25</v>
      </c>
      <c r="F6" s="52">
        <v>25</v>
      </c>
      <c r="G6" s="53"/>
      <c r="H6" s="60">
        <f>0.15*400</f>
        <v>60</v>
      </c>
      <c r="I6" s="17"/>
      <c r="J6" s="18">
        <v>250</v>
      </c>
      <c r="K6" s="52">
        <v>125</v>
      </c>
      <c r="L6" s="19">
        <v>125</v>
      </c>
      <c r="M6" s="18">
        <v>150</v>
      </c>
      <c r="N6" s="52">
        <v>150</v>
      </c>
      <c r="O6" s="19">
        <v>300</v>
      </c>
      <c r="P6" s="18">
        <v>200</v>
      </c>
      <c r="Q6" s="52">
        <v>100</v>
      </c>
      <c r="R6" s="19">
        <v>100</v>
      </c>
      <c r="S6" s="18">
        <v>0</v>
      </c>
      <c r="T6" s="52">
        <v>0</v>
      </c>
      <c r="U6" s="19">
        <v>100</v>
      </c>
    </row>
    <row r="7" spans="1:37" ht="18.600000000000001" thickBot="1" x14ac:dyDescent="0.4">
      <c r="A7" s="13"/>
      <c r="B7" s="13"/>
      <c r="C7" s="50"/>
      <c r="D7" s="55">
        <f>SUM(J7,M7,P7,S7)</f>
        <v>3</v>
      </c>
      <c r="E7" s="55">
        <f>SUM(K7,N7,Q7,T7)</f>
        <v>1.875</v>
      </c>
      <c r="F7" s="55">
        <f>SUM(L7,O7,R7,U7)</f>
        <v>3.125</v>
      </c>
      <c r="G7" s="54"/>
      <c r="H7" s="55"/>
      <c r="I7" s="56"/>
      <c r="J7" s="82">
        <f>J6/200</f>
        <v>1.25</v>
      </c>
      <c r="K7" s="83">
        <f t="shared" ref="K7:U7" si="0">K6/200</f>
        <v>0.625</v>
      </c>
      <c r="L7" s="84">
        <f t="shared" si="0"/>
        <v>0.625</v>
      </c>
      <c r="M7" s="82">
        <f t="shared" si="0"/>
        <v>0.75</v>
      </c>
      <c r="N7" s="83">
        <f t="shared" si="0"/>
        <v>0.75</v>
      </c>
      <c r="O7" s="84">
        <f t="shared" si="0"/>
        <v>1.5</v>
      </c>
      <c r="P7" s="82">
        <f t="shared" si="0"/>
        <v>1</v>
      </c>
      <c r="Q7" s="83">
        <f t="shared" si="0"/>
        <v>0.5</v>
      </c>
      <c r="R7" s="84">
        <f t="shared" si="0"/>
        <v>0.5</v>
      </c>
      <c r="S7" s="82">
        <f t="shared" si="0"/>
        <v>0</v>
      </c>
      <c r="T7" s="83">
        <f t="shared" si="0"/>
        <v>0</v>
      </c>
      <c r="U7" s="84">
        <f t="shared" si="0"/>
        <v>0.5</v>
      </c>
    </row>
    <row r="8" spans="1:37" ht="18.600000000000001" thickBot="1" x14ac:dyDescent="0.4">
      <c r="A8" s="13"/>
      <c r="B8" s="13"/>
      <c r="C8" s="50"/>
      <c r="D8" s="55">
        <f>SUM(J8,M8,P8,S8)</f>
        <v>3</v>
      </c>
      <c r="E8" s="52">
        <f t="shared" ref="E8:F8" si="1">SUM(K8,N8,Q8,T8)</f>
        <v>3</v>
      </c>
      <c r="F8" s="52">
        <f t="shared" si="1"/>
        <v>5</v>
      </c>
      <c r="G8" s="54"/>
      <c r="H8" s="55"/>
      <c r="I8" s="56"/>
      <c r="J8" s="57">
        <v>1</v>
      </c>
      <c r="K8" s="55">
        <v>1</v>
      </c>
      <c r="L8" s="58">
        <v>1</v>
      </c>
      <c r="M8" s="57">
        <v>1</v>
      </c>
      <c r="N8" s="55">
        <v>1</v>
      </c>
      <c r="O8" s="58">
        <v>2</v>
      </c>
      <c r="P8" s="57">
        <v>1</v>
      </c>
      <c r="Q8" s="55">
        <v>1</v>
      </c>
      <c r="R8" s="58">
        <v>1</v>
      </c>
      <c r="S8" s="57">
        <v>0</v>
      </c>
      <c r="T8" s="55">
        <v>0</v>
      </c>
      <c r="U8" s="58">
        <v>1</v>
      </c>
    </row>
    <row r="9" spans="1:37" ht="18.600000000000001" thickBot="1" x14ac:dyDescent="0.4">
      <c r="A9" s="13"/>
      <c r="B9" s="13" t="s">
        <v>34</v>
      </c>
      <c r="C9" s="50"/>
      <c r="D9" s="52">
        <v>50</v>
      </c>
      <c r="E9" s="52">
        <v>50</v>
      </c>
      <c r="F9" s="52">
        <v>50</v>
      </c>
      <c r="G9" s="59">
        <f>0.2*500</f>
        <v>100</v>
      </c>
      <c r="H9" s="60">
        <f>0.1*500</f>
        <v>50</v>
      </c>
      <c r="I9" s="17"/>
      <c r="J9" s="18">
        <v>250</v>
      </c>
      <c r="K9" s="52">
        <v>250</v>
      </c>
      <c r="L9" s="19">
        <v>250</v>
      </c>
      <c r="M9" s="18">
        <v>150</v>
      </c>
      <c r="N9" s="52">
        <v>300</v>
      </c>
      <c r="O9" s="19">
        <v>300</v>
      </c>
      <c r="P9" s="18">
        <v>250</v>
      </c>
      <c r="Q9" s="52">
        <v>200</v>
      </c>
      <c r="R9" s="19">
        <v>200</v>
      </c>
      <c r="S9" s="18">
        <v>0</v>
      </c>
      <c r="T9" s="52">
        <v>0</v>
      </c>
      <c r="U9" s="19">
        <v>200</v>
      </c>
    </row>
    <row r="10" spans="1:37" ht="18.600000000000001" thickBot="1" x14ac:dyDescent="0.4">
      <c r="A10" s="13"/>
      <c r="B10" s="13"/>
      <c r="C10" s="50"/>
      <c r="D10" s="55">
        <f>SUM(J10,M10,P10,S10)</f>
        <v>3.25</v>
      </c>
      <c r="E10" s="55">
        <f>SUM(K10,N10,Q10,T10)</f>
        <v>3.75</v>
      </c>
      <c r="F10" s="55">
        <f>SUM(L10,O10,R10,U10)</f>
        <v>4.75</v>
      </c>
      <c r="G10" s="86">
        <f>AVERAGE(D8,D11)</f>
        <v>3</v>
      </c>
      <c r="H10" s="86">
        <f>AVERAGE(E8,E11)</f>
        <v>3.5</v>
      </c>
      <c r="I10" s="87">
        <f>AVERAGE(F8,F11)</f>
        <v>5</v>
      </c>
      <c r="J10" s="82">
        <f>J9/200</f>
        <v>1.25</v>
      </c>
      <c r="K10" s="83">
        <f t="shared" ref="K10:U10" si="2">K9/200</f>
        <v>1.25</v>
      </c>
      <c r="L10" s="84">
        <f t="shared" si="2"/>
        <v>1.25</v>
      </c>
      <c r="M10" s="82">
        <f t="shared" si="2"/>
        <v>0.75</v>
      </c>
      <c r="N10" s="83">
        <f t="shared" si="2"/>
        <v>1.5</v>
      </c>
      <c r="O10" s="84">
        <f t="shared" si="2"/>
        <v>1.5</v>
      </c>
      <c r="P10" s="82">
        <f t="shared" si="2"/>
        <v>1.25</v>
      </c>
      <c r="Q10" s="83">
        <f t="shared" si="2"/>
        <v>1</v>
      </c>
      <c r="R10" s="84">
        <f t="shared" si="2"/>
        <v>1</v>
      </c>
      <c r="S10" s="82">
        <f t="shared" si="2"/>
        <v>0</v>
      </c>
      <c r="T10" s="83">
        <f t="shared" si="2"/>
        <v>0</v>
      </c>
      <c r="U10" s="84">
        <f t="shared" si="2"/>
        <v>1</v>
      </c>
    </row>
    <row r="11" spans="1:37" ht="18.600000000000001" thickBot="1" x14ac:dyDescent="0.4">
      <c r="A11" s="13"/>
      <c r="B11" s="13"/>
      <c r="C11" s="50"/>
      <c r="D11" s="55">
        <f>SUM(J11,M11,P11,S11)</f>
        <v>3</v>
      </c>
      <c r="E11" s="52">
        <f t="shared" ref="E11:F11" si="3">SUM(K11,N11,Q11,T11)</f>
        <v>4</v>
      </c>
      <c r="F11" s="52">
        <f t="shared" si="3"/>
        <v>5</v>
      </c>
      <c r="G11" s="54"/>
      <c r="H11" s="55"/>
      <c r="I11" s="56"/>
      <c r="J11" s="57">
        <v>1</v>
      </c>
      <c r="K11" s="55">
        <v>1</v>
      </c>
      <c r="L11" s="58">
        <v>1</v>
      </c>
      <c r="M11" s="57">
        <v>1</v>
      </c>
      <c r="N11" s="55">
        <v>2</v>
      </c>
      <c r="O11" s="58">
        <v>2</v>
      </c>
      <c r="P11" s="57">
        <v>1</v>
      </c>
      <c r="Q11" s="55">
        <v>1</v>
      </c>
      <c r="R11" s="58">
        <v>1</v>
      </c>
      <c r="S11" s="57">
        <v>0</v>
      </c>
      <c r="T11" s="55">
        <v>0</v>
      </c>
      <c r="U11" s="58">
        <v>1</v>
      </c>
      <c r="W11" s="24" t="s">
        <v>61</v>
      </c>
      <c r="X11" s="24"/>
      <c r="Y11" s="24"/>
      <c r="Z11" s="152" t="s">
        <v>36</v>
      </c>
      <c r="AA11" s="153"/>
      <c r="AB11" s="154"/>
      <c r="AC11" s="152" t="s">
        <v>37</v>
      </c>
      <c r="AD11" s="153"/>
      <c r="AE11" s="154"/>
      <c r="AF11" s="152" t="s">
        <v>39</v>
      </c>
      <c r="AG11" s="153"/>
      <c r="AH11" s="154"/>
      <c r="AI11" s="152" t="s">
        <v>38</v>
      </c>
      <c r="AJ11" s="153"/>
      <c r="AK11" s="154"/>
    </row>
    <row r="12" spans="1:37" ht="18.600000000000001" thickBot="1" x14ac:dyDescent="0.4">
      <c r="A12" s="20"/>
      <c r="B12" s="88" t="s">
        <v>35</v>
      </c>
      <c r="C12" s="81"/>
      <c r="D12" s="81"/>
      <c r="E12" s="81"/>
      <c r="F12" s="81"/>
      <c r="G12" s="86">
        <f>SUM(J12,M12,P12,S12)</f>
        <v>4</v>
      </c>
      <c r="H12" s="86">
        <f>SUM(K12,N12,Q12,T12)</f>
        <v>3</v>
      </c>
      <c r="I12" s="87">
        <f>SUM(L12,O12,R12,U12)</f>
        <v>7</v>
      </c>
      <c r="J12" s="131">
        <v>2</v>
      </c>
      <c r="K12" s="89">
        <f>AVERAGE(K8,K11)</f>
        <v>1</v>
      </c>
      <c r="L12" s="112">
        <v>1</v>
      </c>
      <c r="M12" s="91">
        <f>AVERAGE(M8,M11)</f>
        <v>1</v>
      </c>
      <c r="N12" s="113">
        <v>1</v>
      </c>
      <c r="O12" s="92">
        <f>AVERAGE(O8,O11)</f>
        <v>2</v>
      </c>
      <c r="P12" s="133">
        <v>1</v>
      </c>
      <c r="Q12" s="86">
        <f>AVERAGE(Q8,Q11)</f>
        <v>1</v>
      </c>
      <c r="R12" s="132">
        <v>2</v>
      </c>
      <c r="S12" s="94">
        <f t="shared" ref="S12:T12" si="4">AVERAGE(S8,S11)</f>
        <v>0</v>
      </c>
      <c r="T12" s="95">
        <f t="shared" si="4"/>
        <v>0</v>
      </c>
      <c r="U12" s="96">
        <v>2</v>
      </c>
      <c r="Z12" s="110" t="s">
        <v>10</v>
      </c>
      <c r="AA12" s="110" t="s">
        <v>11</v>
      </c>
      <c r="AB12" s="162" t="s">
        <v>47</v>
      </c>
      <c r="AC12" s="110" t="s">
        <v>10</v>
      </c>
      <c r="AD12" s="110" t="s">
        <v>11</v>
      </c>
      <c r="AE12" s="162" t="s">
        <v>47</v>
      </c>
      <c r="AF12" s="110" t="s">
        <v>10</v>
      </c>
      <c r="AG12" s="110" t="s">
        <v>11</v>
      </c>
      <c r="AH12" s="162" t="s">
        <v>47</v>
      </c>
      <c r="AI12" s="110" t="s">
        <v>10</v>
      </c>
      <c r="AJ12" s="110" t="s">
        <v>11</v>
      </c>
      <c r="AK12" s="162" t="s">
        <v>47</v>
      </c>
    </row>
    <row r="13" spans="1:37" x14ac:dyDescent="0.35">
      <c r="A13" s="21" t="s">
        <v>40</v>
      </c>
      <c r="B13" s="22" t="s">
        <v>14</v>
      </c>
      <c r="C13" s="21" t="s">
        <v>15</v>
      </c>
      <c r="D13" s="61">
        <v>1200</v>
      </c>
      <c r="E13" s="62">
        <v>400</v>
      </c>
      <c r="F13" s="63">
        <v>1000</v>
      </c>
      <c r="G13" s="80">
        <f>(D13-(H13*(18/100)))*(100/46)</f>
        <v>2268.4310018903593</v>
      </c>
      <c r="H13" s="123">
        <f>E13*(100/46)</f>
        <v>869.56521739130426</v>
      </c>
      <c r="I13" s="163">
        <f>F13*(100/60)</f>
        <v>1666.6666666666667</v>
      </c>
      <c r="J13" s="61">
        <f>(G13*$J$12)/$G$12</f>
        <v>1134.2155009451797</v>
      </c>
      <c r="K13" s="62">
        <f>(H13*$K$12)/$H$12</f>
        <v>289.85507246376807</v>
      </c>
      <c r="L13" s="63">
        <f>(I13*$L$12)/$I$12</f>
        <v>238.0952380952381</v>
      </c>
      <c r="M13" s="61">
        <f>(G13*$M$12)/$G$12</f>
        <v>567.10775047258983</v>
      </c>
      <c r="N13" s="74">
        <f>(H13*$N$12)/$H$12</f>
        <v>289.85507246376807</v>
      </c>
      <c r="O13" s="75">
        <f>(I13*$O$12)/$I$12</f>
        <v>476.1904761904762</v>
      </c>
      <c r="P13" s="61">
        <f>(G13*$P$12)/$G$12</f>
        <v>567.10775047258983</v>
      </c>
      <c r="Q13" s="74">
        <f>(H13*$Q$12)/$H$12</f>
        <v>289.85507246376807</v>
      </c>
      <c r="R13" s="75">
        <f>(I13*$R$12)/$I$12</f>
        <v>476.1904761904762</v>
      </c>
      <c r="S13" s="61">
        <f>(G13*$S$12)/$G$12</f>
        <v>0</v>
      </c>
      <c r="T13" s="74">
        <f>(H13*$T$12)/$H$12</f>
        <v>0</v>
      </c>
      <c r="U13" s="75">
        <f>(I13*$U$12)/$I$12</f>
        <v>476.1904761904762</v>
      </c>
      <c r="W13" s="80">
        <f t="shared" ref="W13:Y15" si="5">Z13+AC13+AF13+AI13</f>
        <v>2300</v>
      </c>
      <c r="X13" s="80">
        <f t="shared" si="5"/>
        <v>900</v>
      </c>
      <c r="Y13" s="80">
        <f t="shared" si="5"/>
        <v>2000</v>
      </c>
      <c r="Z13" s="98">
        <v>1100</v>
      </c>
      <c r="AA13" s="99">
        <v>300</v>
      </c>
      <c r="AB13" s="100">
        <v>300</v>
      </c>
      <c r="AC13" s="101">
        <v>600</v>
      </c>
      <c r="AD13" s="99">
        <v>300</v>
      </c>
      <c r="AE13" s="100">
        <v>600</v>
      </c>
      <c r="AF13" s="101">
        <v>600</v>
      </c>
      <c r="AG13" s="99">
        <v>300</v>
      </c>
      <c r="AH13" s="100">
        <v>600</v>
      </c>
      <c r="AI13" s="101">
        <v>0</v>
      </c>
      <c r="AJ13" s="99">
        <v>0</v>
      </c>
      <c r="AK13" s="145">
        <v>500</v>
      </c>
    </row>
    <row r="14" spans="1:37" x14ac:dyDescent="0.35">
      <c r="A14" s="23" t="s">
        <v>40</v>
      </c>
      <c r="B14" s="22" t="s">
        <v>14</v>
      </c>
      <c r="C14" s="23" t="s">
        <v>64</v>
      </c>
      <c r="D14" s="61">
        <v>1200</v>
      </c>
      <c r="E14" s="66">
        <v>400</v>
      </c>
      <c r="F14" s="63">
        <v>500</v>
      </c>
      <c r="G14" s="80">
        <f>(D14-(H14*(18/100)))*(100/46)</f>
        <v>2268.4310018903593</v>
      </c>
      <c r="H14" s="125">
        <f t="shared" ref="H14:H39" si="6">E14*(100/46)</f>
        <v>869.56521739130426</v>
      </c>
      <c r="I14" s="163">
        <f t="shared" ref="I14:I39" si="7">F14*(100/60)</f>
        <v>833.33333333333337</v>
      </c>
      <c r="J14" s="61">
        <f t="shared" ref="J14:J39" si="8">(G14*$J$12)/$G$12</f>
        <v>1134.2155009451797</v>
      </c>
      <c r="K14" s="66">
        <f t="shared" ref="K14:K39" si="9">(H14*$K$12)/$H$12</f>
        <v>289.85507246376807</v>
      </c>
      <c r="L14" s="63">
        <f t="shared" ref="L14:L39" si="10">(I14*$L$12)/$I$12</f>
        <v>119.04761904761905</v>
      </c>
      <c r="M14" s="61">
        <f t="shared" ref="M14:M39" si="11">(G14*$M$12)/$G$12</f>
        <v>567.10775047258983</v>
      </c>
      <c r="N14" s="76">
        <f t="shared" ref="N14:N39" si="12">(H14*$N$12)/$H$12</f>
        <v>289.85507246376807</v>
      </c>
      <c r="O14" s="75">
        <f t="shared" ref="O14:O39" si="13">(I14*$O$12)/$I$12</f>
        <v>238.0952380952381</v>
      </c>
      <c r="P14" s="61">
        <f t="shared" ref="P14:P39" si="14">(G14*$P$12)/$G$12</f>
        <v>567.10775047258983</v>
      </c>
      <c r="Q14" s="76">
        <f t="shared" ref="Q14:Q39" si="15">(H14*$Q$12)/$H$12</f>
        <v>289.85507246376807</v>
      </c>
      <c r="R14" s="75">
        <f t="shared" ref="R14:R39" si="16">(I14*$R$12)/$I$12</f>
        <v>238.0952380952381</v>
      </c>
      <c r="S14" s="61">
        <f t="shared" ref="S14:S39" si="17">(G14*$S$12)/$G$12</f>
        <v>0</v>
      </c>
      <c r="T14" s="76">
        <f t="shared" ref="T14:T39" si="18">(H14*$T$12)/$H$12</f>
        <v>0</v>
      </c>
      <c r="U14" s="75">
        <f t="shared" ref="U14:U39" si="19">(I14*$U$12)/$I$12</f>
        <v>238.0952380952381</v>
      </c>
      <c r="W14" s="80">
        <f t="shared" si="5"/>
        <v>2300</v>
      </c>
      <c r="X14" s="80">
        <f t="shared" si="5"/>
        <v>900</v>
      </c>
      <c r="Y14" s="80">
        <f t="shared" si="5"/>
        <v>1100</v>
      </c>
      <c r="Z14" s="103">
        <v>1100</v>
      </c>
      <c r="AA14" s="67">
        <v>300</v>
      </c>
      <c r="AB14" s="64">
        <v>200</v>
      </c>
      <c r="AC14" s="65">
        <v>600</v>
      </c>
      <c r="AD14" s="67">
        <v>300</v>
      </c>
      <c r="AE14" s="64">
        <v>300</v>
      </c>
      <c r="AF14" s="65">
        <v>600</v>
      </c>
      <c r="AG14" s="67">
        <v>300</v>
      </c>
      <c r="AH14" s="64">
        <v>300</v>
      </c>
      <c r="AI14" s="65">
        <v>0</v>
      </c>
      <c r="AJ14" s="67">
        <v>0</v>
      </c>
      <c r="AK14" s="104">
        <v>300</v>
      </c>
    </row>
    <row r="15" spans="1:37" s="24" customFormat="1" ht="18.600000000000001" thickBot="1" x14ac:dyDescent="0.4">
      <c r="A15" s="23" t="s">
        <v>40</v>
      </c>
      <c r="B15" s="22" t="s">
        <v>14</v>
      </c>
      <c r="C15" s="23" t="s">
        <v>17</v>
      </c>
      <c r="D15" s="68">
        <v>1200</v>
      </c>
      <c r="E15" s="69">
        <v>400</v>
      </c>
      <c r="F15" s="70">
        <v>250</v>
      </c>
      <c r="G15" s="80">
        <f>(D15-(H15*(18/100)))*(100/46)</f>
        <v>2268.4310018903593</v>
      </c>
      <c r="H15" s="125">
        <f t="shared" si="6"/>
        <v>869.56521739130426</v>
      </c>
      <c r="I15" s="163">
        <f t="shared" si="7"/>
        <v>416.66666666666669</v>
      </c>
      <c r="J15" s="61">
        <f t="shared" si="8"/>
        <v>1134.2155009451797</v>
      </c>
      <c r="K15" s="66">
        <f t="shared" si="9"/>
        <v>289.85507246376807</v>
      </c>
      <c r="L15" s="63">
        <f t="shared" si="10"/>
        <v>59.523809523809526</v>
      </c>
      <c r="M15" s="61">
        <f t="shared" si="11"/>
        <v>567.10775047258983</v>
      </c>
      <c r="N15" s="76">
        <f t="shared" si="12"/>
        <v>289.85507246376807</v>
      </c>
      <c r="O15" s="75">
        <f t="shared" si="13"/>
        <v>119.04761904761905</v>
      </c>
      <c r="P15" s="61">
        <f t="shared" si="14"/>
        <v>567.10775047258983</v>
      </c>
      <c r="Q15" s="76">
        <f t="shared" si="15"/>
        <v>289.85507246376807</v>
      </c>
      <c r="R15" s="75">
        <f t="shared" si="16"/>
        <v>119.04761904761905</v>
      </c>
      <c r="S15" s="61">
        <f t="shared" si="17"/>
        <v>0</v>
      </c>
      <c r="T15" s="76">
        <f t="shared" si="18"/>
        <v>0</v>
      </c>
      <c r="U15" s="75">
        <f t="shared" si="19"/>
        <v>119.04761904761905</v>
      </c>
      <c r="W15" s="80">
        <f t="shared" si="5"/>
        <v>2300</v>
      </c>
      <c r="X15" s="80">
        <f t="shared" si="5"/>
        <v>900</v>
      </c>
      <c r="Y15" s="80">
        <f t="shared" si="5"/>
        <v>600</v>
      </c>
      <c r="Z15" s="105">
        <v>1100</v>
      </c>
      <c r="AA15" s="106">
        <v>300</v>
      </c>
      <c r="AB15" s="107">
        <v>100</v>
      </c>
      <c r="AC15" s="108">
        <v>600</v>
      </c>
      <c r="AD15" s="106">
        <v>300</v>
      </c>
      <c r="AE15" s="107">
        <v>200</v>
      </c>
      <c r="AF15" s="108">
        <v>600</v>
      </c>
      <c r="AG15" s="106">
        <v>300</v>
      </c>
      <c r="AH15" s="107">
        <v>200</v>
      </c>
      <c r="AI15" s="108">
        <v>0</v>
      </c>
      <c r="AJ15" s="106">
        <v>0</v>
      </c>
      <c r="AK15" s="109">
        <v>100</v>
      </c>
    </row>
    <row r="16" spans="1:37" x14ac:dyDescent="0.35">
      <c r="A16" s="25" t="s">
        <v>40</v>
      </c>
      <c r="B16" s="26" t="s">
        <v>63</v>
      </c>
      <c r="C16" s="25" t="s">
        <v>15</v>
      </c>
      <c r="D16" s="71">
        <v>1200</v>
      </c>
      <c r="E16" s="62">
        <v>200</v>
      </c>
      <c r="F16" s="72">
        <v>1000</v>
      </c>
      <c r="G16" s="80">
        <f>(D16-(H16*(18/100)))*(100/46)</f>
        <v>2438.5633270321359</v>
      </c>
      <c r="H16" s="125">
        <f t="shared" si="6"/>
        <v>434.78260869565213</v>
      </c>
      <c r="I16" s="163">
        <f t="shared" si="7"/>
        <v>1666.6666666666667</v>
      </c>
      <c r="J16" s="61">
        <f t="shared" si="8"/>
        <v>1219.281663516068</v>
      </c>
      <c r="K16" s="66">
        <f t="shared" si="9"/>
        <v>144.92753623188403</v>
      </c>
      <c r="L16" s="63">
        <f t="shared" si="10"/>
        <v>238.0952380952381</v>
      </c>
      <c r="M16" s="61">
        <f t="shared" si="11"/>
        <v>609.64083175803398</v>
      </c>
      <c r="N16" s="76">
        <f t="shared" si="12"/>
        <v>144.92753623188403</v>
      </c>
      <c r="O16" s="75">
        <f t="shared" si="13"/>
        <v>476.1904761904762</v>
      </c>
      <c r="P16" s="61">
        <f t="shared" si="14"/>
        <v>609.64083175803398</v>
      </c>
      <c r="Q16" s="76">
        <f t="shared" si="15"/>
        <v>144.92753623188403</v>
      </c>
      <c r="R16" s="75">
        <f t="shared" si="16"/>
        <v>476.1904761904762</v>
      </c>
      <c r="S16" s="61">
        <f t="shared" si="17"/>
        <v>0</v>
      </c>
      <c r="T16" s="76">
        <f t="shared" si="18"/>
        <v>0</v>
      </c>
      <c r="U16" s="75">
        <f t="shared" si="19"/>
        <v>476.1904761904762</v>
      </c>
      <c r="W16" s="80">
        <f>Z16+AC16+AF16+AI16</f>
        <v>2400</v>
      </c>
      <c r="X16" s="80">
        <f t="shared" ref="W16:Y39" si="20">AA16+AD16+AG16+AJ16</f>
        <v>600</v>
      </c>
      <c r="Y16" s="80">
        <f t="shared" si="20"/>
        <v>2000</v>
      </c>
      <c r="Z16" s="103">
        <v>1200</v>
      </c>
      <c r="AA16" s="67">
        <v>200</v>
      </c>
      <c r="AB16" s="100">
        <v>300</v>
      </c>
      <c r="AC16" s="65">
        <v>600</v>
      </c>
      <c r="AD16" s="67">
        <v>200</v>
      </c>
      <c r="AE16" s="100">
        <v>600</v>
      </c>
      <c r="AF16" s="65">
        <v>600</v>
      </c>
      <c r="AG16" s="67">
        <v>200</v>
      </c>
      <c r="AH16" s="100">
        <v>600</v>
      </c>
      <c r="AI16" s="65">
        <v>0</v>
      </c>
      <c r="AJ16" s="67">
        <v>0</v>
      </c>
      <c r="AK16" s="145">
        <v>500</v>
      </c>
    </row>
    <row r="17" spans="1:37" x14ac:dyDescent="0.35">
      <c r="A17" s="25" t="s">
        <v>40</v>
      </c>
      <c r="B17" s="26" t="s">
        <v>63</v>
      </c>
      <c r="C17" s="25" t="s">
        <v>64</v>
      </c>
      <c r="D17" s="61">
        <v>1200</v>
      </c>
      <c r="E17" s="66">
        <v>200</v>
      </c>
      <c r="F17" s="63">
        <v>500</v>
      </c>
      <c r="G17" s="80">
        <f>(D17-(H17*(18/100)))*(100/46)</f>
        <v>2438.5633270321359</v>
      </c>
      <c r="H17" s="125">
        <f t="shared" si="6"/>
        <v>434.78260869565213</v>
      </c>
      <c r="I17" s="163">
        <f t="shared" si="7"/>
        <v>833.33333333333337</v>
      </c>
      <c r="J17" s="61">
        <f t="shared" si="8"/>
        <v>1219.281663516068</v>
      </c>
      <c r="K17" s="66">
        <f t="shared" si="9"/>
        <v>144.92753623188403</v>
      </c>
      <c r="L17" s="63">
        <f t="shared" si="10"/>
        <v>119.04761904761905</v>
      </c>
      <c r="M17" s="61">
        <f t="shared" si="11"/>
        <v>609.64083175803398</v>
      </c>
      <c r="N17" s="76">
        <f t="shared" si="12"/>
        <v>144.92753623188403</v>
      </c>
      <c r="O17" s="75">
        <f t="shared" si="13"/>
        <v>238.0952380952381</v>
      </c>
      <c r="P17" s="61">
        <f t="shared" si="14"/>
        <v>609.64083175803398</v>
      </c>
      <c r="Q17" s="76">
        <f t="shared" si="15"/>
        <v>144.92753623188403</v>
      </c>
      <c r="R17" s="75">
        <f t="shared" si="16"/>
        <v>238.0952380952381</v>
      </c>
      <c r="S17" s="61">
        <f t="shared" si="17"/>
        <v>0</v>
      </c>
      <c r="T17" s="76">
        <f t="shared" si="18"/>
        <v>0</v>
      </c>
      <c r="U17" s="75">
        <f t="shared" si="19"/>
        <v>238.0952380952381</v>
      </c>
      <c r="W17" s="80">
        <f t="shared" si="20"/>
        <v>2400</v>
      </c>
      <c r="X17" s="80">
        <f t="shared" si="20"/>
        <v>600</v>
      </c>
      <c r="Y17" s="80">
        <f t="shared" si="20"/>
        <v>1100</v>
      </c>
      <c r="Z17" s="103">
        <v>1200</v>
      </c>
      <c r="AA17" s="67">
        <v>200</v>
      </c>
      <c r="AB17" s="64">
        <v>200</v>
      </c>
      <c r="AC17" s="65">
        <v>600</v>
      </c>
      <c r="AD17" s="67">
        <v>200</v>
      </c>
      <c r="AE17" s="64">
        <v>300</v>
      </c>
      <c r="AF17" s="65">
        <v>600</v>
      </c>
      <c r="AG17" s="67">
        <v>200</v>
      </c>
      <c r="AH17" s="64">
        <v>300</v>
      </c>
      <c r="AI17" s="65">
        <v>0</v>
      </c>
      <c r="AJ17" s="67">
        <v>0</v>
      </c>
      <c r="AK17" s="104">
        <v>300</v>
      </c>
    </row>
    <row r="18" spans="1:37" ht="18.600000000000001" thickBot="1" x14ac:dyDescent="0.4">
      <c r="A18" s="25" t="s">
        <v>40</v>
      </c>
      <c r="B18" s="26" t="s">
        <v>63</v>
      </c>
      <c r="C18" s="25" t="s">
        <v>17</v>
      </c>
      <c r="D18" s="68">
        <v>1200</v>
      </c>
      <c r="E18" s="69">
        <v>200</v>
      </c>
      <c r="F18" s="70">
        <v>250</v>
      </c>
      <c r="G18" s="80">
        <f t="shared" ref="G18:G39" si="21">(D18-(H18*(18/100)))*(100/46)</f>
        <v>2438.5633270321359</v>
      </c>
      <c r="H18" s="125">
        <f t="shared" si="6"/>
        <v>434.78260869565213</v>
      </c>
      <c r="I18" s="163">
        <f t="shared" si="7"/>
        <v>416.66666666666669</v>
      </c>
      <c r="J18" s="61">
        <f t="shared" si="8"/>
        <v>1219.281663516068</v>
      </c>
      <c r="K18" s="66">
        <f t="shared" si="9"/>
        <v>144.92753623188403</v>
      </c>
      <c r="L18" s="63">
        <f t="shared" si="10"/>
        <v>59.523809523809526</v>
      </c>
      <c r="M18" s="61">
        <f t="shared" si="11"/>
        <v>609.64083175803398</v>
      </c>
      <c r="N18" s="76">
        <f t="shared" si="12"/>
        <v>144.92753623188403</v>
      </c>
      <c r="O18" s="75">
        <f t="shared" si="13"/>
        <v>119.04761904761905</v>
      </c>
      <c r="P18" s="61">
        <f t="shared" si="14"/>
        <v>609.64083175803398</v>
      </c>
      <c r="Q18" s="76">
        <f t="shared" si="15"/>
        <v>144.92753623188403</v>
      </c>
      <c r="R18" s="75">
        <f t="shared" si="16"/>
        <v>119.04761904761905</v>
      </c>
      <c r="S18" s="61">
        <f t="shared" si="17"/>
        <v>0</v>
      </c>
      <c r="T18" s="76">
        <f t="shared" si="18"/>
        <v>0</v>
      </c>
      <c r="U18" s="75">
        <f t="shared" si="19"/>
        <v>119.04761904761905</v>
      </c>
      <c r="W18" s="80">
        <f t="shared" si="20"/>
        <v>2400</v>
      </c>
      <c r="X18" s="80">
        <f t="shared" si="20"/>
        <v>600</v>
      </c>
      <c r="Y18" s="80">
        <f t="shared" si="20"/>
        <v>600</v>
      </c>
      <c r="Z18" s="103">
        <v>1200</v>
      </c>
      <c r="AA18" s="67">
        <v>200</v>
      </c>
      <c r="AB18" s="107">
        <v>100</v>
      </c>
      <c r="AC18" s="65">
        <v>600</v>
      </c>
      <c r="AD18" s="67">
        <v>200</v>
      </c>
      <c r="AE18" s="107">
        <v>200</v>
      </c>
      <c r="AF18" s="65">
        <v>600</v>
      </c>
      <c r="AG18" s="67">
        <v>200</v>
      </c>
      <c r="AH18" s="107">
        <v>200</v>
      </c>
      <c r="AI18" s="65">
        <v>0</v>
      </c>
      <c r="AJ18" s="67">
        <v>0</v>
      </c>
      <c r="AK18" s="109">
        <v>100</v>
      </c>
    </row>
    <row r="19" spans="1:37" x14ac:dyDescent="0.35">
      <c r="A19" s="27" t="s">
        <v>40</v>
      </c>
      <c r="B19" s="28" t="s">
        <v>18</v>
      </c>
      <c r="C19" s="27" t="s">
        <v>15</v>
      </c>
      <c r="D19" s="61">
        <v>1200</v>
      </c>
      <c r="E19" s="66">
        <v>100</v>
      </c>
      <c r="F19" s="63">
        <v>1000</v>
      </c>
      <c r="G19" s="80">
        <f t="shared" si="21"/>
        <v>2523.6294896030245</v>
      </c>
      <c r="H19" s="125">
        <f t="shared" si="6"/>
        <v>217.39130434782606</v>
      </c>
      <c r="I19" s="163">
        <f t="shared" si="7"/>
        <v>1666.6666666666667</v>
      </c>
      <c r="J19" s="61">
        <f t="shared" si="8"/>
        <v>1261.8147448015122</v>
      </c>
      <c r="K19" s="66">
        <f t="shared" si="9"/>
        <v>72.463768115942017</v>
      </c>
      <c r="L19" s="63">
        <f t="shared" si="10"/>
        <v>238.0952380952381</v>
      </c>
      <c r="M19" s="61">
        <f t="shared" si="11"/>
        <v>630.90737240075612</v>
      </c>
      <c r="N19" s="76">
        <f t="shared" si="12"/>
        <v>72.463768115942017</v>
      </c>
      <c r="O19" s="75">
        <f t="shared" si="13"/>
        <v>476.1904761904762</v>
      </c>
      <c r="P19" s="61">
        <f t="shared" si="14"/>
        <v>630.90737240075612</v>
      </c>
      <c r="Q19" s="76">
        <f t="shared" si="15"/>
        <v>72.463768115942017</v>
      </c>
      <c r="R19" s="75">
        <f t="shared" si="16"/>
        <v>476.1904761904762</v>
      </c>
      <c r="S19" s="61">
        <f t="shared" si="17"/>
        <v>0</v>
      </c>
      <c r="T19" s="76">
        <f t="shared" si="18"/>
        <v>0</v>
      </c>
      <c r="U19" s="75">
        <f t="shared" si="19"/>
        <v>476.1904761904762</v>
      </c>
      <c r="W19" s="80">
        <f>Z19+AC19+AF19+AI19</f>
        <v>2500</v>
      </c>
      <c r="X19" s="80">
        <f>AA19+AD19+AG19+AJ19</f>
        <v>300</v>
      </c>
      <c r="Y19" s="80">
        <f t="shared" si="20"/>
        <v>2000</v>
      </c>
      <c r="Z19" s="98">
        <v>1300</v>
      </c>
      <c r="AA19" s="99">
        <v>100</v>
      </c>
      <c r="AB19" s="100">
        <v>300</v>
      </c>
      <c r="AC19" s="101">
        <v>600</v>
      </c>
      <c r="AD19" s="99">
        <v>100</v>
      </c>
      <c r="AE19" s="100">
        <v>600</v>
      </c>
      <c r="AF19" s="101">
        <v>600</v>
      </c>
      <c r="AG19" s="99">
        <v>100</v>
      </c>
      <c r="AH19" s="100">
        <v>600</v>
      </c>
      <c r="AI19" s="101">
        <v>0</v>
      </c>
      <c r="AJ19" s="99">
        <v>0</v>
      </c>
      <c r="AK19" s="145">
        <v>500</v>
      </c>
    </row>
    <row r="20" spans="1:37" x14ac:dyDescent="0.35">
      <c r="A20" s="27" t="s">
        <v>40</v>
      </c>
      <c r="B20" s="28" t="s">
        <v>18</v>
      </c>
      <c r="C20" s="27" t="s">
        <v>64</v>
      </c>
      <c r="D20" s="61">
        <v>1200</v>
      </c>
      <c r="E20" s="66">
        <v>100</v>
      </c>
      <c r="F20" s="63">
        <v>500</v>
      </c>
      <c r="G20" s="80">
        <f t="shared" si="21"/>
        <v>2523.6294896030245</v>
      </c>
      <c r="H20" s="125">
        <f t="shared" si="6"/>
        <v>217.39130434782606</v>
      </c>
      <c r="I20" s="163">
        <f t="shared" si="7"/>
        <v>833.33333333333337</v>
      </c>
      <c r="J20" s="61">
        <f t="shared" si="8"/>
        <v>1261.8147448015122</v>
      </c>
      <c r="K20" s="66">
        <f t="shared" si="9"/>
        <v>72.463768115942017</v>
      </c>
      <c r="L20" s="63">
        <f t="shared" si="10"/>
        <v>119.04761904761905</v>
      </c>
      <c r="M20" s="61">
        <f t="shared" si="11"/>
        <v>630.90737240075612</v>
      </c>
      <c r="N20" s="76">
        <f t="shared" si="12"/>
        <v>72.463768115942017</v>
      </c>
      <c r="O20" s="75">
        <f t="shared" si="13"/>
        <v>238.0952380952381</v>
      </c>
      <c r="P20" s="61">
        <f t="shared" si="14"/>
        <v>630.90737240075612</v>
      </c>
      <c r="Q20" s="76">
        <f t="shared" si="15"/>
        <v>72.463768115942017</v>
      </c>
      <c r="R20" s="75">
        <f t="shared" si="16"/>
        <v>238.0952380952381</v>
      </c>
      <c r="S20" s="61">
        <f t="shared" si="17"/>
        <v>0</v>
      </c>
      <c r="T20" s="76">
        <f t="shared" si="18"/>
        <v>0</v>
      </c>
      <c r="U20" s="75">
        <f t="shared" si="19"/>
        <v>238.0952380952381</v>
      </c>
      <c r="W20" s="80">
        <f t="shared" si="20"/>
        <v>2500</v>
      </c>
      <c r="X20" s="80">
        <f t="shared" si="20"/>
        <v>300</v>
      </c>
      <c r="Y20" s="80">
        <f t="shared" si="20"/>
        <v>1100</v>
      </c>
      <c r="Z20" s="103">
        <v>1300</v>
      </c>
      <c r="AA20" s="67">
        <v>100</v>
      </c>
      <c r="AB20" s="64">
        <v>200</v>
      </c>
      <c r="AC20" s="65">
        <v>600</v>
      </c>
      <c r="AD20" s="67">
        <v>100</v>
      </c>
      <c r="AE20" s="64">
        <v>300</v>
      </c>
      <c r="AF20" s="65">
        <v>600</v>
      </c>
      <c r="AG20" s="67">
        <v>100</v>
      </c>
      <c r="AH20" s="64">
        <v>300</v>
      </c>
      <c r="AI20" s="65">
        <v>0</v>
      </c>
      <c r="AJ20" s="67">
        <v>0</v>
      </c>
      <c r="AK20" s="104">
        <v>300</v>
      </c>
    </row>
    <row r="21" spans="1:37" ht="18.600000000000001" thickBot="1" x14ac:dyDescent="0.4">
      <c r="A21" s="27" t="s">
        <v>40</v>
      </c>
      <c r="B21" s="28" t="s">
        <v>18</v>
      </c>
      <c r="C21" s="27" t="s">
        <v>17</v>
      </c>
      <c r="D21" s="68">
        <v>1200</v>
      </c>
      <c r="E21" s="69">
        <v>100</v>
      </c>
      <c r="F21" s="70">
        <v>250</v>
      </c>
      <c r="G21" s="80">
        <f t="shared" si="21"/>
        <v>2523.6294896030245</v>
      </c>
      <c r="H21" s="125">
        <f t="shared" si="6"/>
        <v>217.39130434782606</v>
      </c>
      <c r="I21" s="163">
        <f t="shared" si="7"/>
        <v>416.66666666666669</v>
      </c>
      <c r="J21" s="61">
        <f t="shared" si="8"/>
        <v>1261.8147448015122</v>
      </c>
      <c r="K21" s="66">
        <f t="shared" si="9"/>
        <v>72.463768115942017</v>
      </c>
      <c r="L21" s="63">
        <f t="shared" si="10"/>
        <v>59.523809523809526</v>
      </c>
      <c r="M21" s="61">
        <f t="shared" si="11"/>
        <v>630.90737240075612</v>
      </c>
      <c r="N21" s="76">
        <f t="shared" si="12"/>
        <v>72.463768115942017</v>
      </c>
      <c r="O21" s="75">
        <f t="shared" si="13"/>
        <v>119.04761904761905</v>
      </c>
      <c r="P21" s="61">
        <f t="shared" si="14"/>
        <v>630.90737240075612</v>
      </c>
      <c r="Q21" s="76">
        <f t="shared" si="15"/>
        <v>72.463768115942017</v>
      </c>
      <c r="R21" s="75">
        <f t="shared" si="16"/>
        <v>119.04761904761905</v>
      </c>
      <c r="S21" s="61">
        <f t="shared" si="17"/>
        <v>0</v>
      </c>
      <c r="T21" s="76">
        <f t="shared" si="18"/>
        <v>0</v>
      </c>
      <c r="U21" s="75">
        <f t="shared" si="19"/>
        <v>119.04761904761905</v>
      </c>
      <c r="W21" s="80">
        <f t="shared" si="20"/>
        <v>2500</v>
      </c>
      <c r="X21" s="80">
        <f t="shared" si="20"/>
        <v>300</v>
      </c>
      <c r="Y21" s="80">
        <f t="shared" si="20"/>
        <v>600</v>
      </c>
      <c r="Z21" s="105">
        <v>1300</v>
      </c>
      <c r="AA21" s="106">
        <v>100</v>
      </c>
      <c r="AB21" s="107">
        <v>100</v>
      </c>
      <c r="AC21" s="108">
        <v>600</v>
      </c>
      <c r="AD21" s="106">
        <v>100</v>
      </c>
      <c r="AE21" s="107">
        <v>200</v>
      </c>
      <c r="AF21" s="108">
        <v>600</v>
      </c>
      <c r="AG21" s="106">
        <v>100</v>
      </c>
      <c r="AH21" s="107">
        <v>200</v>
      </c>
      <c r="AI21" s="108">
        <v>0</v>
      </c>
      <c r="AJ21" s="106">
        <v>0</v>
      </c>
      <c r="AK21" s="109">
        <v>100</v>
      </c>
    </row>
    <row r="22" spans="1:37" x14ac:dyDescent="0.35">
      <c r="A22" s="29" t="s">
        <v>41</v>
      </c>
      <c r="B22" s="30" t="s">
        <v>14</v>
      </c>
      <c r="C22" s="31" t="s">
        <v>15</v>
      </c>
      <c r="D22" s="71">
        <v>600</v>
      </c>
      <c r="E22" s="62">
        <v>400</v>
      </c>
      <c r="F22" s="63">
        <v>1000</v>
      </c>
      <c r="G22" s="80">
        <f t="shared" si="21"/>
        <v>964.0831758034027</v>
      </c>
      <c r="H22" s="125">
        <f t="shared" si="6"/>
        <v>869.56521739130426</v>
      </c>
      <c r="I22" s="163">
        <f t="shared" si="7"/>
        <v>1666.6666666666667</v>
      </c>
      <c r="J22" s="61">
        <f t="shared" si="8"/>
        <v>482.04158790170135</v>
      </c>
      <c r="K22" s="66">
        <f t="shared" si="9"/>
        <v>289.85507246376807</v>
      </c>
      <c r="L22" s="63">
        <f t="shared" si="10"/>
        <v>238.0952380952381</v>
      </c>
      <c r="M22" s="61">
        <f t="shared" si="11"/>
        <v>241.02079395085067</v>
      </c>
      <c r="N22" s="76">
        <f t="shared" si="12"/>
        <v>289.85507246376807</v>
      </c>
      <c r="O22" s="75">
        <f t="shared" si="13"/>
        <v>476.1904761904762</v>
      </c>
      <c r="P22" s="61">
        <f t="shared" si="14"/>
        <v>241.02079395085067</v>
      </c>
      <c r="Q22" s="76">
        <f t="shared" si="15"/>
        <v>289.85507246376807</v>
      </c>
      <c r="R22" s="75">
        <f t="shared" si="16"/>
        <v>476.1904761904762</v>
      </c>
      <c r="S22" s="61">
        <f t="shared" si="17"/>
        <v>0</v>
      </c>
      <c r="T22" s="76">
        <f t="shared" si="18"/>
        <v>0</v>
      </c>
      <c r="U22" s="75">
        <f t="shared" si="19"/>
        <v>476.1904761904762</v>
      </c>
      <c r="W22" s="80">
        <f>Z22+AC22+AF22+AI22</f>
        <v>900</v>
      </c>
      <c r="X22" s="80">
        <f t="shared" si="20"/>
        <v>900</v>
      </c>
      <c r="Y22" s="80">
        <f t="shared" si="20"/>
        <v>2000</v>
      </c>
      <c r="Z22" s="103">
        <v>500</v>
      </c>
      <c r="AA22" s="99">
        <v>300</v>
      </c>
      <c r="AB22" s="100">
        <v>300</v>
      </c>
      <c r="AC22" s="65">
        <v>200</v>
      </c>
      <c r="AD22" s="99">
        <v>300</v>
      </c>
      <c r="AE22" s="100">
        <v>600</v>
      </c>
      <c r="AF22" s="65">
        <v>200</v>
      </c>
      <c r="AG22" s="99">
        <v>300</v>
      </c>
      <c r="AH22" s="100">
        <v>600</v>
      </c>
      <c r="AI22" s="65">
        <v>0</v>
      </c>
      <c r="AJ22" s="67">
        <v>0</v>
      </c>
      <c r="AK22" s="145">
        <v>500</v>
      </c>
    </row>
    <row r="23" spans="1:37" x14ac:dyDescent="0.35">
      <c r="A23" s="29" t="s">
        <v>41</v>
      </c>
      <c r="B23" s="30" t="s">
        <v>14</v>
      </c>
      <c r="C23" s="31" t="s">
        <v>64</v>
      </c>
      <c r="D23" s="61">
        <v>600</v>
      </c>
      <c r="E23" s="66">
        <v>400</v>
      </c>
      <c r="F23" s="63">
        <v>500</v>
      </c>
      <c r="G23" s="80">
        <f t="shared" si="21"/>
        <v>964.0831758034027</v>
      </c>
      <c r="H23" s="125">
        <f t="shared" si="6"/>
        <v>869.56521739130426</v>
      </c>
      <c r="I23" s="163">
        <f t="shared" si="7"/>
        <v>833.33333333333337</v>
      </c>
      <c r="J23" s="61">
        <f t="shared" si="8"/>
        <v>482.04158790170135</v>
      </c>
      <c r="K23" s="66">
        <f t="shared" si="9"/>
        <v>289.85507246376807</v>
      </c>
      <c r="L23" s="63">
        <f t="shared" si="10"/>
        <v>119.04761904761905</v>
      </c>
      <c r="M23" s="61">
        <f t="shared" si="11"/>
        <v>241.02079395085067</v>
      </c>
      <c r="N23" s="76">
        <f t="shared" si="12"/>
        <v>289.85507246376807</v>
      </c>
      <c r="O23" s="75">
        <f t="shared" si="13"/>
        <v>238.0952380952381</v>
      </c>
      <c r="P23" s="61">
        <f t="shared" si="14"/>
        <v>241.02079395085067</v>
      </c>
      <c r="Q23" s="76">
        <f t="shared" si="15"/>
        <v>289.85507246376807</v>
      </c>
      <c r="R23" s="75">
        <f t="shared" si="16"/>
        <v>238.0952380952381</v>
      </c>
      <c r="S23" s="61">
        <f t="shared" si="17"/>
        <v>0</v>
      </c>
      <c r="T23" s="76">
        <f t="shared" si="18"/>
        <v>0</v>
      </c>
      <c r="U23" s="75">
        <f t="shared" si="19"/>
        <v>238.0952380952381</v>
      </c>
      <c r="W23" s="80">
        <f t="shared" si="20"/>
        <v>900</v>
      </c>
      <c r="X23" s="80">
        <f t="shared" si="20"/>
        <v>900</v>
      </c>
      <c r="Y23" s="80">
        <f t="shared" si="20"/>
        <v>1100</v>
      </c>
      <c r="Z23" s="103">
        <v>500</v>
      </c>
      <c r="AA23" s="67">
        <v>300</v>
      </c>
      <c r="AB23" s="64">
        <v>200</v>
      </c>
      <c r="AC23" s="65">
        <v>200</v>
      </c>
      <c r="AD23" s="67">
        <v>300</v>
      </c>
      <c r="AE23" s="64">
        <v>300</v>
      </c>
      <c r="AF23" s="65">
        <v>200</v>
      </c>
      <c r="AG23" s="67">
        <v>300</v>
      </c>
      <c r="AH23" s="64">
        <v>300</v>
      </c>
      <c r="AI23" s="65">
        <v>0</v>
      </c>
      <c r="AJ23" s="67">
        <v>0</v>
      </c>
      <c r="AK23" s="104">
        <v>300</v>
      </c>
    </row>
    <row r="24" spans="1:37" ht="18.600000000000001" thickBot="1" x14ac:dyDescent="0.4">
      <c r="A24" s="29" t="s">
        <v>41</v>
      </c>
      <c r="B24" s="30" t="s">
        <v>14</v>
      </c>
      <c r="C24" s="31" t="s">
        <v>17</v>
      </c>
      <c r="D24" s="68">
        <v>600</v>
      </c>
      <c r="E24" s="69">
        <v>400</v>
      </c>
      <c r="F24" s="70">
        <v>250</v>
      </c>
      <c r="G24" s="80">
        <f t="shared" si="21"/>
        <v>964.0831758034027</v>
      </c>
      <c r="H24" s="125">
        <f t="shared" si="6"/>
        <v>869.56521739130426</v>
      </c>
      <c r="I24" s="163">
        <f t="shared" si="7"/>
        <v>416.66666666666669</v>
      </c>
      <c r="J24" s="61">
        <f t="shared" si="8"/>
        <v>482.04158790170135</v>
      </c>
      <c r="K24" s="66">
        <f t="shared" si="9"/>
        <v>289.85507246376807</v>
      </c>
      <c r="L24" s="63">
        <f t="shared" si="10"/>
        <v>59.523809523809526</v>
      </c>
      <c r="M24" s="61">
        <f t="shared" si="11"/>
        <v>241.02079395085067</v>
      </c>
      <c r="N24" s="76">
        <f t="shared" si="12"/>
        <v>289.85507246376807</v>
      </c>
      <c r="O24" s="75">
        <f t="shared" si="13"/>
        <v>119.04761904761905</v>
      </c>
      <c r="P24" s="61">
        <f t="shared" si="14"/>
        <v>241.02079395085067</v>
      </c>
      <c r="Q24" s="76">
        <f t="shared" si="15"/>
        <v>289.85507246376807</v>
      </c>
      <c r="R24" s="75">
        <f t="shared" si="16"/>
        <v>119.04761904761905</v>
      </c>
      <c r="S24" s="61">
        <f t="shared" si="17"/>
        <v>0</v>
      </c>
      <c r="T24" s="76">
        <f t="shared" si="18"/>
        <v>0</v>
      </c>
      <c r="U24" s="75">
        <f t="shared" si="19"/>
        <v>119.04761904761905</v>
      </c>
      <c r="W24" s="80">
        <f t="shared" si="20"/>
        <v>900</v>
      </c>
      <c r="X24" s="80">
        <f t="shared" si="20"/>
        <v>900</v>
      </c>
      <c r="Y24" s="80">
        <f t="shared" si="20"/>
        <v>600</v>
      </c>
      <c r="Z24" s="103">
        <v>500</v>
      </c>
      <c r="AA24" s="106">
        <v>300</v>
      </c>
      <c r="AB24" s="107">
        <v>100</v>
      </c>
      <c r="AC24" s="65">
        <v>200</v>
      </c>
      <c r="AD24" s="106">
        <v>300</v>
      </c>
      <c r="AE24" s="107">
        <v>200</v>
      </c>
      <c r="AF24" s="65">
        <v>200</v>
      </c>
      <c r="AG24" s="106">
        <v>300</v>
      </c>
      <c r="AH24" s="107">
        <v>200</v>
      </c>
      <c r="AI24" s="65">
        <v>0</v>
      </c>
      <c r="AJ24" s="67">
        <v>0</v>
      </c>
      <c r="AK24" s="109">
        <v>100</v>
      </c>
    </row>
    <row r="25" spans="1:37" x14ac:dyDescent="0.35">
      <c r="A25" s="32" t="s">
        <v>41</v>
      </c>
      <c r="B25" s="33" t="s">
        <v>63</v>
      </c>
      <c r="C25" s="34" t="s">
        <v>15</v>
      </c>
      <c r="D25" s="61">
        <v>600</v>
      </c>
      <c r="E25" s="62">
        <v>200</v>
      </c>
      <c r="F25" s="72">
        <v>1000</v>
      </c>
      <c r="G25" s="80">
        <f t="shared" si="21"/>
        <v>1134.2155009451797</v>
      </c>
      <c r="H25" s="125">
        <f t="shared" si="6"/>
        <v>434.78260869565213</v>
      </c>
      <c r="I25" s="163">
        <f t="shared" si="7"/>
        <v>1666.6666666666667</v>
      </c>
      <c r="J25" s="61">
        <f t="shared" si="8"/>
        <v>567.10775047258983</v>
      </c>
      <c r="K25" s="66">
        <f t="shared" si="9"/>
        <v>144.92753623188403</v>
      </c>
      <c r="L25" s="63">
        <f t="shared" si="10"/>
        <v>238.0952380952381</v>
      </c>
      <c r="M25" s="61">
        <f t="shared" si="11"/>
        <v>283.55387523629491</v>
      </c>
      <c r="N25" s="76">
        <f t="shared" si="12"/>
        <v>144.92753623188403</v>
      </c>
      <c r="O25" s="75">
        <f t="shared" si="13"/>
        <v>476.1904761904762</v>
      </c>
      <c r="P25" s="61">
        <f t="shared" si="14"/>
        <v>283.55387523629491</v>
      </c>
      <c r="Q25" s="76">
        <f t="shared" si="15"/>
        <v>144.92753623188403</v>
      </c>
      <c r="R25" s="75">
        <f t="shared" si="16"/>
        <v>476.1904761904762</v>
      </c>
      <c r="S25" s="61">
        <f t="shared" si="17"/>
        <v>0</v>
      </c>
      <c r="T25" s="76">
        <f t="shared" si="18"/>
        <v>0</v>
      </c>
      <c r="U25" s="75">
        <f t="shared" si="19"/>
        <v>476.1904761904762</v>
      </c>
      <c r="W25" s="80">
        <f>Z25+AC25+AF25+AI25</f>
        <v>1200</v>
      </c>
      <c r="X25" s="80">
        <f>AA25+AD25+AG25+AJ25</f>
        <v>600</v>
      </c>
      <c r="Y25" s="80">
        <f t="shared" si="20"/>
        <v>2000</v>
      </c>
      <c r="Z25" s="98">
        <v>600</v>
      </c>
      <c r="AA25" s="67">
        <v>200</v>
      </c>
      <c r="AB25" s="100">
        <v>300</v>
      </c>
      <c r="AC25" s="101">
        <v>300</v>
      </c>
      <c r="AD25" s="67">
        <v>200</v>
      </c>
      <c r="AE25" s="100">
        <v>600</v>
      </c>
      <c r="AF25" s="101">
        <v>300</v>
      </c>
      <c r="AG25" s="67">
        <v>200</v>
      </c>
      <c r="AH25" s="100">
        <v>600</v>
      </c>
      <c r="AI25" s="101">
        <v>0</v>
      </c>
      <c r="AJ25" s="99">
        <v>0</v>
      </c>
      <c r="AK25" s="145">
        <v>500</v>
      </c>
    </row>
    <row r="26" spans="1:37" x14ac:dyDescent="0.35">
      <c r="A26" s="32" t="s">
        <v>41</v>
      </c>
      <c r="B26" s="33" t="s">
        <v>63</v>
      </c>
      <c r="C26" s="34" t="s">
        <v>64</v>
      </c>
      <c r="D26" s="61">
        <v>600</v>
      </c>
      <c r="E26" s="66">
        <v>200</v>
      </c>
      <c r="F26" s="63">
        <v>500</v>
      </c>
      <c r="G26" s="80">
        <f t="shared" si="21"/>
        <v>1134.2155009451797</v>
      </c>
      <c r="H26" s="125">
        <f t="shared" si="6"/>
        <v>434.78260869565213</v>
      </c>
      <c r="I26" s="163">
        <f t="shared" si="7"/>
        <v>833.33333333333337</v>
      </c>
      <c r="J26" s="61">
        <f t="shared" si="8"/>
        <v>567.10775047258983</v>
      </c>
      <c r="K26" s="66">
        <f t="shared" si="9"/>
        <v>144.92753623188403</v>
      </c>
      <c r="L26" s="63">
        <f t="shared" si="10"/>
        <v>119.04761904761905</v>
      </c>
      <c r="M26" s="61">
        <f t="shared" si="11"/>
        <v>283.55387523629491</v>
      </c>
      <c r="N26" s="76">
        <f t="shared" si="12"/>
        <v>144.92753623188403</v>
      </c>
      <c r="O26" s="75">
        <f t="shared" si="13"/>
        <v>238.0952380952381</v>
      </c>
      <c r="P26" s="61">
        <f t="shared" si="14"/>
        <v>283.55387523629491</v>
      </c>
      <c r="Q26" s="76">
        <f t="shared" si="15"/>
        <v>144.92753623188403</v>
      </c>
      <c r="R26" s="75">
        <f t="shared" si="16"/>
        <v>238.0952380952381</v>
      </c>
      <c r="S26" s="61">
        <f t="shared" si="17"/>
        <v>0</v>
      </c>
      <c r="T26" s="76">
        <f t="shared" si="18"/>
        <v>0</v>
      </c>
      <c r="U26" s="75">
        <f t="shared" si="19"/>
        <v>238.0952380952381</v>
      </c>
      <c r="W26" s="80">
        <f t="shared" si="20"/>
        <v>1200</v>
      </c>
      <c r="X26" s="80">
        <f t="shared" si="20"/>
        <v>600</v>
      </c>
      <c r="Y26" s="80">
        <f t="shared" si="20"/>
        <v>1100</v>
      </c>
      <c r="Z26" s="103">
        <v>600</v>
      </c>
      <c r="AA26" s="67">
        <v>200</v>
      </c>
      <c r="AB26" s="64">
        <v>200</v>
      </c>
      <c r="AC26" s="65">
        <v>300</v>
      </c>
      <c r="AD26" s="67">
        <v>200</v>
      </c>
      <c r="AE26" s="64">
        <v>300</v>
      </c>
      <c r="AF26" s="65">
        <v>300</v>
      </c>
      <c r="AG26" s="67">
        <v>200</v>
      </c>
      <c r="AH26" s="64">
        <v>300</v>
      </c>
      <c r="AI26" s="65">
        <v>0</v>
      </c>
      <c r="AJ26" s="67">
        <v>0</v>
      </c>
      <c r="AK26" s="104">
        <v>300</v>
      </c>
    </row>
    <row r="27" spans="1:37" ht="18.600000000000001" thickBot="1" x14ac:dyDescent="0.4">
      <c r="A27" s="32" t="s">
        <v>41</v>
      </c>
      <c r="B27" s="33" t="s">
        <v>63</v>
      </c>
      <c r="C27" s="34" t="s">
        <v>17</v>
      </c>
      <c r="D27" s="68">
        <v>600</v>
      </c>
      <c r="E27" s="69">
        <v>200</v>
      </c>
      <c r="F27" s="70">
        <v>250</v>
      </c>
      <c r="G27" s="80">
        <f t="shared" si="21"/>
        <v>1134.2155009451797</v>
      </c>
      <c r="H27" s="125">
        <f t="shared" si="6"/>
        <v>434.78260869565213</v>
      </c>
      <c r="I27" s="163">
        <f t="shared" si="7"/>
        <v>416.66666666666669</v>
      </c>
      <c r="J27" s="61">
        <f t="shared" si="8"/>
        <v>567.10775047258983</v>
      </c>
      <c r="K27" s="66">
        <f t="shared" si="9"/>
        <v>144.92753623188403</v>
      </c>
      <c r="L27" s="63">
        <f t="shared" si="10"/>
        <v>59.523809523809526</v>
      </c>
      <c r="M27" s="61">
        <f t="shared" si="11"/>
        <v>283.55387523629491</v>
      </c>
      <c r="N27" s="76">
        <f t="shared" si="12"/>
        <v>144.92753623188403</v>
      </c>
      <c r="O27" s="75">
        <f t="shared" si="13"/>
        <v>119.04761904761905</v>
      </c>
      <c r="P27" s="61">
        <f t="shared" si="14"/>
        <v>283.55387523629491</v>
      </c>
      <c r="Q27" s="76">
        <f t="shared" si="15"/>
        <v>144.92753623188403</v>
      </c>
      <c r="R27" s="75">
        <f t="shared" si="16"/>
        <v>119.04761904761905</v>
      </c>
      <c r="S27" s="61">
        <f t="shared" si="17"/>
        <v>0</v>
      </c>
      <c r="T27" s="76">
        <f t="shared" si="18"/>
        <v>0</v>
      </c>
      <c r="U27" s="75">
        <f t="shared" si="19"/>
        <v>119.04761904761905</v>
      </c>
      <c r="W27" s="80">
        <f t="shared" si="20"/>
        <v>1200</v>
      </c>
      <c r="X27" s="80">
        <f t="shared" si="20"/>
        <v>600</v>
      </c>
      <c r="Y27" s="80">
        <f t="shared" si="20"/>
        <v>600</v>
      </c>
      <c r="Z27" s="105">
        <v>600</v>
      </c>
      <c r="AA27" s="67">
        <v>200</v>
      </c>
      <c r="AB27" s="107">
        <v>100</v>
      </c>
      <c r="AC27" s="108">
        <v>300</v>
      </c>
      <c r="AD27" s="67">
        <v>200</v>
      </c>
      <c r="AE27" s="107">
        <v>200</v>
      </c>
      <c r="AF27" s="108">
        <v>300</v>
      </c>
      <c r="AG27" s="67">
        <v>200</v>
      </c>
      <c r="AH27" s="107">
        <v>200</v>
      </c>
      <c r="AI27" s="108">
        <v>0</v>
      </c>
      <c r="AJ27" s="106">
        <v>0</v>
      </c>
      <c r="AK27" s="109">
        <v>100</v>
      </c>
    </row>
    <row r="28" spans="1:37" x14ac:dyDescent="0.35">
      <c r="A28" s="35" t="s">
        <v>41</v>
      </c>
      <c r="B28" s="36" t="s">
        <v>18</v>
      </c>
      <c r="C28" s="37" t="s">
        <v>15</v>
      </c>
      <c r="D28" s="71">
        <v>600</v>
      </c>
      <c r="E28" s="62">
        <v>100</v>
      </c>
      <c r="F28" s="72">
        <v>1000</v>
      </c>
      <c r="G28" s="80">
        <f t="shared" si="21"/>
        <v>1219.281663516068</v>
      </c>
      <c r="H28" s="125">
        <f t="shared" si="6"/>
        <v>217.39130434782606</v>
      </c>
      <c r="I28" s="163">
        <f t="shared" si="7"/>
        <v>1666.6666666666667</v>
      </c>
      <c r="J28" s="61">
        <f t="shared" si="8"/>
        <v>609.64083175803398</v>
      </c>
      <c r="K28" s="66">
        <f t="shared" si="9"/>
        <v>72.463768115942017</v>
      </c>
      <c r="L28" s="63">
        <f t="shared" si="10"/>
        <v>238.0952380952381</v>
      </c>
      <c r="M28" s="61">
        <f t="shared" si="11"/>
        <v>304.82041587901699</v>
      </c>
      <c r="N28" s="76">
        <f t="shared" si="12"/>
        <v>72.463768115942017</v>
      </c>
      <c r="O28" s="75">
        <f t="shared" si="13"/>
        <v>476.1904761904762</v>
      </c>
      <c r="P28" s="61">
        <f t="shared" si="14"/>
        <v>304.82041587901699</v>
      </c>
      <c r="Q28" s="76">
        <f t="shared" si="15"/>
        <v>72.463768115942017</v>
      </c>
      <c r="R28" s="75">
        <f t="shared" si="16"/>
        <v>476.1904761904762</v>
      </c>
      <c r="S28" s="61">
        <f t="shared" si="17"/>
        <v>0</v>
      </c>
      <c r="T28" s="76">
        <f t="shared" si="18"/>
        <v>0</v>
      </c>
      <c r="U28" s="75">
        <f t="shared" si="19"/>
        <v>476.1904761904762</v>
      </c>
      <c r="W28" s="80">
        <f>Z28+AC28+AF28+AI28</f>
        <v>1200</v>
      </c>
      <c r="X28" s="80">
        <f>AA28+AD28+AG28+AJ28</f>
        <v>300</v>
      </c>
      <c r="Y28" s="80">
        <f t="shared" si="20"/>
        <v>2000</v>
      </c>
      <c r="Z28" s="103">
        <v>600</v>
      </c>
      <c r="AA28" s="99">
        <v>100</v>
      </c>
      <c r="AB28" s="100">
        <v>300</v>
      </c>
      <c r="AC28" s="65">
        <v>300</v>
      </c>
      <c r="AD28" s="99">
        <v>100</v>
      </c>
      <c r="AE28" s="100">
        <v>600</v>
      </c>
      <c r="AF28" s="65">
        <v>300</v>
      </c>
      <c r="AG28" s="99">
        <v>100</v>
      </c>
      <c r="AH28" s="100">
        <v>600</v>
      </c>
      <c r="AI28" s="65">
        <v>0</v>
      </c>
      <c r="AJ28" s="67">
        <v>0</v>
      </c>
      <c r="AK28" s="145">
        <v>500</v>
      </c>
    </row>
    <row r="29" spans="1:37" x14ac:dyDescent="0.35">
      <c r="A29" s="35" t="s">
        <v>41</v>
      </c>
      <c r="B29" s="36" t="s">
        <v>18</v>
      </c>
      <c r="C29" s="37" t="s">
        <v>64</v>
      </c>
      <c r="D29" s="61">
        <v>600</v>
      </c>
      <c r="E29" s="66">
        <v>100</v>
      </c>
      <c r="F29" s="63">
        <v>500</v>
      </c>
      <c r="G29" s="80">
        <f t="shared" si="21"/>
        <v>1219.281663516068</v>
      </c>
      <c r="H29" s="125">
        <f t="shared" si="6"/>
        <v>217.39130434782606</v>
      </c>
      <c r="I29" s="163">
        <f t="shared" si="7"/>
        <v>833.33333333333337</v>
      </c>
      <c r="J29" s="61">
        <f t="shared" si="8"/>
        <v>609.64083175803398</v>
      </c>
      <c r="K29" s="66">
        <f t="shared" si="9"/>
        <v>72.463768115942017</v>
      </c>
      <c r="L29" s="63">
        <f t="shared" si="10"/>
        <v>119.04761904761905</v>
      </c>
      <c r="M29" s="61">
        <f t="shared" si="11"/>
        <v>304.82041587901699</v>
      </c>
      <c r="N29" s="76">
        <f t="shared" si="12"/>
        <v>72.463768115942017</v>
      </c>
      <c r="O29" s="75">
        <f t="shared" si="13"/>
        <v>238.0952380952381</v>
      </c>
      <c r="P29" s="61">
        <f t="shared" si="14"/>
        <v>304.82041587901699</v>
      </c>
      <c r="Q29" s="76">
        <f t="shared" si="15"/>
        <v>72.463768115942017</v>
      </c>
      <c r="R29" s="75">
        <f t="shared" si="16"/>
        <v>238.0952380952381</v>
      </c>
      <c r="S29" s="61">
        <f t="shared" si="17"/>
        <v>0</v>
      </c>
      <c r="T29" s="76">
        <f t="shared" si="18"/>
        <v>0</v>
      </c>
      <c r="U29" s="75">
        <f t="shared" si="19"/>
        <v>238.0952380952381</v>
      </c>
      <c r="W29" s="80">
        <f t="shared" si="20"/>
        <v>1200</v>
      </c>
      <c r="X29" s="80">
        <f t="shared" si="20"/>
        <v>300</v>
      </c>
      <c r="Y29" s="80">
        <f t="shared" si="20"/>
        <v>1100</v>
      </c>
      <c r="Z29" s="103">
        <v>600</v>
      </c>
      <c r="AA29" s="67">
        <v>100</v>
      </c>
      <c r="AB29" s="64">
        <v>200</v>
      </c>
      <c r="AC29" s="65">
        <v>300</v>
      </c>
      <c r="AD29" s="67">
        <v>100</v>
      </c>
      <c r="AE29" s="64">
        <v>300</v>
      </c>
      <c r="AF29" s="65">
        <v>300</v>
      </c>
      <c r="AG29" s="67">
        <v>100</v>
      </c>
      <c r="AH29" s="64">
        <v>300</v>
      </c>
      <c r="AI29" s="65">
        <v>0</v>
      </c>
      <c r="AJ29" s="67">
        <v>0</v>
      </c>
      <c r="AK29" s="104">
        <v>300</v>
      </c>
    </row>
    <row r="30" spans="1:37" ht="18.600000000000001" thickBot="1" x14ac:dyDescent="0.4">
      <c r="A30" s="35" t="s">
        <v>41</v>
      </c>
      <c r="B30" s="36" t="s">
        <v>18</v>
      </c>
      <c r="C30" s="37" t="s">
        <v>17</v>
      </c>
      <c r="D30" s="68">
        <v>600</v>
      </c>
      <c r="E30" s="69">
        <v>100</v>
      </c>
      <c r="F30" s="70">
        <v>250</v>
      </c>
      <c r="G30" s="80">
        <f t="shared" si="21"/>
        <v>1219.281663516068</v>
      </c>
      <c r="H30" s="125">
        <f t="shared" si="6"/>
        <v>217.39130434782606</v>
      </c>
      <c r="I30" s="163">
        <f t="shared" si="7"/>
        <v>416.66666666666669</v>
      </c>
      <c r="J30" s="61">
        <f t="shared" si="8"/>
        <v>609.64083175803398</v>
      </c>
      <c r="K30" s="66">
        <f t="shared" si="9"/>
        <v>72.463768115942017</v>
      </c>
      <c r="L30" s="63">
        <f t="shared" si="10"/>
        <v>59.523809523809526</v>
      </c>
      <c r="M30" s="61">
        <f t="shared" si="11"/>
        <v>304.82041587901699</v>
      </c>
      <c r="N30" s="76">
        <f t="shared" si="12"/>
        <v>72.463768115942017</v>
      </c>
      <c r="O30" s="75">
        <f t="shared" si="13"/>
        <v>119.04761904761905</v>
      </c>
      <c r="P30" s="61">
        <f t="shared" si="14"/>
        <v>304.82041587901699</v>
      </c>
      <c r="Q30" s="76">
        <f t="shared" si="15"/>
        <v>72.463768115942017</v>
      </c>
      <c r="R30" s="75">
        <f t="shared" si="16"/>
        <v>119.04761904761905</v>
      </c>
      <c r="S30" s="61">
        <f t="shared" si="17"/>
        <v>0</v>
      </c>
      <c r="T30" s="76">
        <f t="shared" si="18"/>
        <v>0</v>
      </c>
      <c r="U30" s="75">
        <f t="shared" si="19"/>
        <v>119.04761904761905</v>
      </c>
      <c r="W30" s="80">
        <f t="shared" si="20"/>
        <v>1200</v>
      </c>
      <c r="X30" s="80">
        <f t="shared" si="20"/>
        <v>300</v>
      </c>
      <c r="Y30" s="80">
        <f t="shared" si="20"/>
        <v>600</v>
      </c>
      <c r="Z30" s="103">
        <v>600</v>
      </c>
      <c r="AA30" s="106">
        <v>100</v>
      </c>
      <c r="AB30" s="107">
        <v>100</v>
      </c>
      <c r="AC30" s="65">
        <v>300</v>
      </c>
      <c r="AD30" s="106">
        <v>100</v>
      </c>
      <c r="AE30" s="107">
        <v>200</v>
      </c>
      <c r="AF30" s="65">
        <v>300</v>
      </c>
      <c r="AG30" s="106">
        <v>100</v>
      </c>
      <c r="AH30" s="107">
        <v>200</v>
      </c>
      <c r="AI30" s="65">
        <v>0</v>
      </c>
      <c r="AJ30" s="67">
        <v>0</v>
      </c>
      <c r="AK30" s="109">
        <v>100</v>
      </c>
    </row>
    <row r="31" spans="1:37" x14ac:dyDescent="0.35">
      <c r="A31" s="38" t="s">
        <v>42</v>
      </c>
      <c r="B31" s="39" t="s">
        <v>14</v>
      </c>
      <c r="C31" s="40" t="s">
        <v>15</v>
      </c>
      <c r="D31" s="71">
        <v>300</v>
      </c>
      <c r="E31" s="62">
        <v>400</v>
      </c>
      <c r="F31" s="63">
        <v>1000</v>
      </c>
      <c r="G31" s="80">
        <f t="shared" si="21"/>
        <v>311.90926275992445</v>
      </c>
      <c r="H31" s="125">
        <f t="shared" si="6"/>
        <v>869.56521739130426</v>
      </c>
      <c r="I31" s="163">
        <f t="shared" si="7"/>
        <v>1666.6666666666667</v>
      </c>
      <c r="J31" s="61">
        <f t="shared" si="8"/>
        <v>155.95463137996222</v>
      </c>
      <c r="K31" s="66">
        <f t="shared" si="9"/>
        <v>289.85507246376807</v>
      </c>
      <c r="L31" s="63">
        <f t="shared" si="10"/>
        <v>238.0952380952381</v>
      </c>
      <c r="M31" s="61">
        <f t="shared" si="11"/>
        <v>77.977315689981111</v>
      </c>
      <c r="N31" s="76">
        <f t="shared" si="12"/>
        <v>289.85507246376807</v>
      </c>
      <c r="O31" s="75">
        <f t="shared" si="13"/>
        <v>476.1904761904762</v>
      </c>
      <c r="P31" s="61">
        <f t="shared" si="14"/>
        <v>77.977315689981111</v>
      </c>
      <c r="Q31" s="76">
        <f t="shared" si="15"/>
        <v>289.85507246376807</v>
      </c>
      <c r="R31" s="75">
        <f t="shared" si="16"/>
        <v>476.1904761904762</v>
      </c>
      <c r="S31" s="61">
        <f t="shared" si="17"/>
        <v>0</v>
      </c>
      <c r="T31" s="76">
        <f t="shared" si="18"/>
        <v>0</v>
      </c>
      <c r="U31" s="75">
        <f t="shared" si="19"/>
        <v>476.1904761904762</v>
      </c>
      <c r="W31" s="80">
        <f>Z31+AC31+AF31+AI31</f>
        <v>400</v>
      </c>
      <c r="X31" s="80">
        <f t="shared" si="20"/>
        <v>900</v>
      </c>
      <c r="Y31" s="80">
        <f t="shared" si="20"/>
        <v>2000</v>
      </c>
      <c r="Z31" s="98">
        <v>200</v>
      </c>
      <c r="AA31" s="99">
        <v>300</v>
      </c>
      <c r="AB31" s="100">
        <v>300</v>
      </c>
      <c r="AC31" s="101">
        <v>100</v>
      </c>
      <c r="AD31" s="99">
        <v>300</v>
      </c>
      <c r="AE31" s="100">
        <v>600</v>
      </c>
      <c r="AF31" s="101">
        <v>100</v>
      </c>
      <c r="AG31" s="99">
        <v>300</v>
      </c>
      <c r="AH31" s="100">
        <v>600</v>
      </c>
      <c r="AI31" s="101">
        <v>0</v>
      </c>
      <c r="AJ31" s="99">
        <v>0</v>
      </c>
      <c r="AK31" s="145">
        <v>500</v>
      </c>
    </row>
    <row r="32" spans="1:37" x14ac:dyDescent="0.35">
      <c r="A32" s="38" t="s">
        <v>42</v>
      </c>
      <c r="B32" s="39" t="s">
        <v>14</v>
      </c>
      <c r="C32" s="40" t="s">
        <v>64</v>
      </c>
      <c r="D32" s="61">
        <v>300</v>
      </c>
      <c r="E32" s="66">
        <v>400</v>
      </c>
      <c r="F32" s="63">
        <v>500</v>
      </c>
      <c r="G32" s="80">
        <f t="shared" si="21"/>
        <v>311.90926275992445</v>
      </c>
      <c r="H32" s="125">
        <f t="shared" si="6"/>
        <v>869.56521739130426</v>
      </c>
      <c r="I32" s="163">
        <f t="shared" si="7"/>
        <v>833.33333333333337</v>
      </c>
      <c r="J32" s="61">
        <f t="shared" si="8"/>
        <v>155.95463137996222</v>
      </c>
      <c r="K32" s="66">
        <f t="shared" si="9"/>
        <v>289.85507246376807</v>
      </c>
      <c r="L32" s="63">
        <f t="shared" si="10"/>
        <v>119.04761904761905</v>
      </c>
      <c r="M32" s="61">
        <f t="shared" si="11"/>
        <v>77.977315689981111</v>
      </c>
      <c r="N32" s="76">
        <f t="shared" si="12"/>
        <v>289.85507246376807</v>
      </c>
      <c r="O32" s="75">
        <f t="shared" si="13"/>
        <v>238.0952380952381</v>
      </c>
      <c r="P32" s="61">
        <f t="shared" si="14"/>
        <v>77.977315689981111</v>
      </c>
      <c r="Q32" s="76">
        <f t="shared" si="15"/>
        <v>289.85507246376807</v>
      </c>
      <c r="R32" s="75">
        <f t="shared" si="16"/>
        <v>238.0952380952381</v>
      </c>
      <c r="S32" s="61">
        <f t="shared" si="17"/>
        <v>0</v>
      </c>
      <c r="T32" s="76">
        <f t="shared" si="18"/>
        <v>0</v>
      </c>
      <c r="U32" s="75">
        <f t="shared" si="19"/>
        <v>238.0952380952381</v>
      </c>
      <c r="W32" s="80">
        <f t="shared" si="20"/>
        <v>400</v>
      </c>
      <c r="X32" s="80">
        <f t="shared" si="20"/>
        <v>900</v>
      </c>
      <c r="Y32" s="80">
        <f t="shared" si="20"/>
        <v>1100</v>
      </c>
      <c r="Z32" s="103">
        <v>200</v>
      </c>
      <c r="AA32" s="67">
        <v>300</v>
      </c>
      <c r="AB32" s="64">
        <v>200</v>
      </c>
      <c r="AC32" s="65">
        <v>100</v>
      </c>
      <c r="AD32" s="67">
        <v>300</v>
      </c>
      <c r="AE32" s="64">
        <v>300</v>
      </c>
      <c r="AF32" s="65">
        <v>100</v>
      </c>
      <c r="AG32" s="67">
        <v>300</v>
      </c>
      <c r="AH32" s="64">
        <v>300</v>
      </c>
      <c r="AI32" s="65">
        <v>0</v>
      </c>
      <c r="AJ32" s="67">
        <v>0</v>
      </c>
      <c r="AK32" s="104">
        <v>300</v>
      </c>
    </row>
    <row r="33" spans="1:37" ht="18.600000000000001" thickBot="1" x14ac:dyDescent="0.4">
      <c r="A33" s="38" t="s">
        <v>42</v>
      </c>
      <c r="B33" s="39" t="s">
        <v>14</v>
      </c>
      <c r="C33" s="40" t="s">
        <v>17</v>
      </c>
      <c r="D33" s="68">
        <v>300</v>
      </c>
      <c r="E33" s="69">
        <v>400</v>
      </c>
      <c r="F33" s="70">
        <v>250</v>
      </c>
      <c r="G33" s="80">
        <f t="shared" si="21"/>
        <v>311.90926275992445</v>
      </c>
      <c r="H33" s="125">
        <f t="shared" si="6"/>
        <v>869.56521739130426</v>
      </c>
      <c r="I33" s="163">
        <f t="shared" si="7"/>
        <v>416.66666666666669</v>
      </c>
      <c r="J33" s="61">
        <f t="shared" si="8"/>
        <v>155.95463137996222</v>
      </c>
      <c r="K33" s="66">
        <f t="shared" si="9"/>
        <v>289.85507246376807</v>
      </c>
      <c r="L33" s="63">
        <f t="shared" si="10"/>
        <v>59.523809523809526</v>
      </c>
      <c r="M33" s="61">
        <f t="shared" si="11"/>
        <v>77.977315689981111</v>
      </c>
      <c r="N33" s="76">
        <f t="shared" si="12"/>
        <v>289.85507246376807</v>
      </c>
      <c r="O33" s="75">
        <f t="shared" si="13"/>
        <v>119.04761904761905</v>
      </c>
      <c r="P33" s="61">
        <f t="shared" si="14"/>
        <v>77.977315689981111</v>
      </c>
      <c r="Q33" s="76">
        <f t="shared" si="15"/>
        <v>289.85507246376807</v>
      </c>
      <c r="R33" s="75">
        <f t="shared" si="16"/>
        <v>119.04761904761905</v>
      </c>
      <c r="S33" s="61">
        <f t="shared" si="17"/>
        <v>0</v>
      </c>
      <c r="T33" s="76">
        <f t="shared" si="18"/>
        <v>0</v>
      </c>
      <c r="U33" s="75">
        <f t="shared" si="19"/>
        <v>119.04761904761905</v>
      </c>
      <c r="W33" s="80">
        <f t="shared" si="20"/>
        <v>400</v>
      </c>
      <c r="X33" s="80">
        <f t="shared" si="20"/>
        <v>900</v>
      </c>
      <c r="Y33" s="80">
        <f t="shared" si="20"/>
        <v>600</v>
      </c>
      <c r="Z33" s="105">
        <v>200</v>
      </c>
      <c r="AA33" s="106">
        <v>300</v>
      </c>
      <c r="AB33" s="107">
        <v>100</v>
      </c>
      <c r="AC33" s="108">
        <v>100</v>
      </c>
      <c r="AD33" s="106">
        <v>300</v>
      </c>
      <c r="AE33" s="107">
        <v>200</v>
      </c>
      <c r="AF33" s="108">
        <v>100</v>
      </c>
      <c r="AG33" s="106">
        <v>300</v>
      </c>
      <c r="AH33" s="107">
        <v>200</v>
      </c>
      <c r="AI33" s="108">
        <v>0</v>
      </c>
      <c r="AJ33" s="106">
        <v>0</v>
      </c>
      <c r="AK33" s="109">
        <v>100</v>
      </c>
    </row>
    <row r="34" spans="1:37" x14ac:dyDescent="0.35">
      <c r="A34" s="41" t="s">
        <v>42</v>
      </c>
      <c r="B34" s="42" t="s">
        <v>63</v>
      </c>
      <c r="C34" s="43" t="s">
        <v>15</v>
      </c>
      <c r="D34" s="71">
        <v>300</v>
      </c>
      <c r="E34" s="62">
        <v>200</v>
      </c>
      <c r="F34" s="72">
        <v>1000</v>
      </c>
      <c r="G34" s="80">
        <f t="shared" si="21"/>
        <v>482.04158790170135</v>
      </c>
      <c r="H34" s="125">
        <f t="shared" si="6"/>
        <v>434.78260869565213</v>
      </c>
      <c r="I34" s="163">
        <f t="shared" si="7"/>
        <v>1666.6666666666667</v>
      </c>
      <c r="J34" s="61">
        <f t="shared" si="8"/>
        <v>241.02079395085067</v>
      </c>
      <c r="K34" s="66">
        <f t="shared" si="9"/>
        <v>144.92753623188403</v>
      </c>
      <c r="L34" s="63">
        <f t="shared" si="10"/>
        <v>238.0952380952381</v>
      </c>
      <c r="M34" s="61">
        <f t="shared" si="11"/>
        <v>120.51039697542534</v>
      </c>
      <c r="N34" s="76">
        <f t="shared" si="12"/>
        <v>144.92753623188403</v>
      </c>
      <c r="O34" s="75">
        <f t="shared" si="13"/>
        <v>476.1904761904762</v>
      </c>
      <c r="P34" s="61">
        <f t="shared" si="14"/>
        <v>120.51039697542534</v>
      </c>
      <c r="Q34" s="76">
        <f t="shared" si="15"/>
        <v>144.92753623188403</v>
      </c>
      <c r="R34" s="75">
        <f t="shared" si="16"/>
        <v>476.1904761904762</v>
      </c>
      <c r="S34" s="61">
        <f t="shared" si="17"/>
        <v>0</v>
      </c>
      <c r="T34" s="76">
        <f t="shared" si="18"/>
        <v>0</v>
      </c>
      <c r="U34" s="75">
        <f t="shared" si="19"/>
        <v>476.1904761904762</v>
      </c>
      <c r="W34" s="80">
        <f>Z34+AC34+AF34+AI34</f>
        <v>400</v>
      </c>
      <c r="X34" s="80">
        <f t="shared" si="20"/>
        <v>600</v>
      </c>
      <c r="Y34" s="80">
        <f t="shared" si="20"/>
        <v>2000</v>
      </c>
      <c r="Z34" s="103">
        <v>200</v>
      </c>
      <c r="AA34" s="67">
        <v>200</v>
      </c>
      <c r="AB34" s="100">
        <v>300</v>
      </c>
      <c r="AC34" s="65">
        <v>100</v>
      </c>
      <c r="AD34" s="67">
        <v>200</v>
      </c>
      <c r="AE34" s="100">
        <v>600</v>
      </c>
      <c r="AF34" s="65">
        <v>100</v>
      </c>
      <c r="AG34" s="67">
        <v>200</v>
      </c>
      <c r="AH34" s="100">
        <v>600</v>
      </c>
      <c r="AI34" s="65">
        <v>0</v>
      </c>
      <c r="AJ34" s="67">
        <v>0</v>
      </c>
      <c r="AK34" s="145">
        <v>500</v>
      </c>
    </row>
    <row r="35" spans="1:37" x14ac:dyDescent="0.35">
      <c r="A35" s="41" t="s">
        <v>42</v>
      </c>
      <c r="B35" s="42" t="s">
        <v>63</v>
      </c>
      <c r="C35" s="43" t="s">
        <v>64</v>
      </c>
      <c r="D35" s="61">
        <v>300</v>
      </c>
      <c r="E35" s="66">
        <v>200</v>
      </c>
      <c r="F35" s="63">
        <v>500</v>
      </c>
      <c r="G35" s="80">
        <f t="shared" si="21"/>
        <v>482.04158790170135</v>
      </c>
      <c r="H35" s="125">
        <f t="shared" si="6"/>
        <v>434.78260869565213</v>
      </c>
      <c r="I35" s="163">
        <f t="shared" si="7"/>
        <v>833.33333333333337</v>
      </c>
      <c r="J35" s="61">
        <f t="shared" si="8"/>
        <v>241.02079395085067</v>
      </c>
      <c r="K35" s="66">
        <f t="shared" si="9"/>
        <v>144.92753623188403</v>
      </c>
      <c r="L35" s="63">
        <f t="shared" si="10"/>
        <v>119.04761904761905</v>
      </c>
      <c r="M35" s="61">
        <f t="shared" si="11"/>
        <v>120.51039697542534</v>
      </c>
      <c r="N35" s="76">
        <f t="shared" si="12"/>
        <v>144.92753623188403</v>
      </c>
      <c r="O35" s="75">
        <f t="shared" si="13"/>
        <v>238.0952380952381</v>
      </c>
      <c r="P35" s="61">
        <f t="shared" si="14"/>
        <v>120.51039697542534</v>
      </c>
      <c r="Q35" s="76">
        <f t="shared" si="15"/>
        <v>144.92753623188403</v>
      </c>
      <c r="R35" s="75">
        <f t="shared" si="16"/>
        <v>238.0952380952381</v>
      </c>
      <c r="S35" s="61">
        <f t="shared" si="17"/>
        <v>0</v>
      </c>
      <c r="T35" s="76">
        <f t="shared" si="18"/>
        <v>0</v>
      </c>
      <c r="U35" s="75">
        <f t="shared" si="19"/>
        <v>238.0952380952381</v>
      </c>
      <c r="W35" s="80">
        <f t="shared" si="20"/>
        <v>400</v>
      </c>
      <c r="X35" s="80">
        <f t="shared" si="20"/>
        <v>600</v>
      </c>
      <c r="Y35" s="80">
        <f t="shared" si="20"/>
        <v>1100</v>
      </c>
      <c r="Z35" s="103">
        <v>200</v>
      </c>
      <c r="AA35" s="67">
        <v>200</v>
      </c>
      <c r="AB35" s="64">
        <v>200</v>
      </c>
      <c r="AC35" s="65">
        <v>100</v>
      </c>
      <c r="AD35" s="67">
        <v>200</v>
      </c>
      <c r="AE35" s="64">
        <v>300</v>
      </c>
      <c r="AF35" s="65">
        <v>100</v>
      </c>
      <c r="AG35" s="67">
        <v>200</v>
      </c>
      <c r="AH35" s="64">
        <v>300</v>
      </c>
      <c r="AI35" s="65">
        <v>0</v>
      </c>
      <c r="AJ35" s="67">
        <v>0</v>
      </c>
      <c r="AK35" s="104">
        <v>300</v>
      </c>
    </row>
    <row r="36" spans="1:37" ht="18.600000000000001" thickBot="1" x14ac:dyDescent="0.4">
      <c r="A36" s="41" t="s">
        <v>42</v>
      </c>
      <c r="B36" s="42" t="s">
        <v>63</v>
      </c>
      <c r="C36" s="43" t="s">
        <v>17</v>
      </c>
      <c r="D36" s="68">
        <v>300</v>
      </c>
      <c r="E36" s="69">
        <v>200</v>
      </c>
      <c r="F36" s="70">
        <v>250</v>
      </c>
      <c r="G36" s="80">
        <f t="shared" si="21"/>
        <v>482.04158790170135</v>
      </c>
      <c r="H36" s="125">
        <f t="shared" si="6"/>
        <v>434.78260869565213</v>
      </c>
      <c r="I36" s="163">
        <f t="shared" si="7"/>
        <v>416.66666666666669</v>
      </c>
      <c r="J36" s="61">
        <f t="shared" si="8"/>
        <v>241.02079395085067</v>
      </c>
      <c r="K36" s="66">
        <f t="shared" si="9"/>
        <v>144.92753623188403</v>
      </c>
      <c r="L36" s="63">
        <f t="shared" si="10"/>
        <v>59.523809523809526</v>
      </c>
      <c r="M36" s="61">
        <f t="shared" si="11"/>
        <v>120.51039697542534</v>
      </c>
      <c r="N36" s="76">
        <f t="shared" si="12"/>
        <v>144.92753623188403</v>
      </c>
      <c r="O36" s="75">
        <f t="shared" si="13"/>
        <v>119.04761904761905</v>
      </c>
      <c r="P36" s="61">
        <f t="shared" si="14"/>
        <v>120.51039697542534</v>
      </c>
      <c r="Q36" s="76">
        <f t="shared" si="15"/>
        <v>144.92753623188403</v>
      </c>
      <c r="R36" s="75">
        <f t="shared" si="16"/>
        <v>119.04761904761905</v>
      </c>
      <c r="S36" s="61">
        <f t="shared" si="17"/>
        <v>0</v>
      </c>
      <c r="T36" s="76">
        <f t="shared" si="18"/>
        <v>0</v>
      </c>
      <c r="U36" s="75">
        <f t="shared" si="19"/>
        <v>119.04761904761905</v>
      </c>
      <c r="W36" s="80">
        <f t="shared" si="20"/>
        <v>400</v>
      </c>
      <c r="X36" s="80">
        <f t="shared" si="20"/>
        <v>600</v>
      </c>
      <c r="Y36" s="80">
        <f t="shared" si="20"/>
        <v>600</v>
      </c>
      <c r="Z36" s="103">
        <v>200</v>
      </c>
      <c r="AA36" s="67">
        <v>200</v>
      </c>
      <c r="AB36" s="107">
        <v>100</v>
      </c>
      <c r="AC36" s="65">
        <v>100</v>
      </c>
      <c r="AD36" s="67">
        <v>200</v>
      </c>
      <c r="AE36" s="107">
        <v>200</v>
      </c>
      <c r="AF36" s="65">
        <v>100</v>
      </c>
      <c r="AG36" s="67">
        <v>200</v>
      </c>
      <c r="AH36" s="107">
        <v>200</v>
      </c>
      <c r="AI36" s="65">
        <v>0</v>
      </c>
      <c r="AJ36" s="67">
        <v>0</v>
      </c>
      <c r="AK36" s="109">
        <v>100</v>
      </c>
    </row>
    <row r="37" spans="1:37" x14ac:dyDescent="0.35">
      <c r="A37" s="44" t="s">
        <v>42</v>
      </c>
      <c r="B37" s="45" t="s">
        <v>18</v>
      </c>
      <c r="C37" s="46" t="s">
        <v>15</v>
      </c>
      <c r="D37" s="71">
        <v>300</v>
      </c>
      <c r="E37" s="66">
        <v>100</v>
      </c>
      <c r="F37" s="63">
        <v>1000</v>
      </c>
      <c r="G37" s="80">
        <f t="shared" si="21"/>
        <v>567.10775047258983</v>
      </c>
      <c r="H37" s="125">
        <f t="shared" si="6"/>
        <v>217.39130434782606</v>
      </c>
      <c r="I37" s="163">
        <f t="shared" si="7"/>
        <v>1666.6666666666667</v>
      </c>
      <c r="J37" s="61">
        <f t="shared" si="8"/>
        <v>283.55387523629491</v>
      </c>
      <c r="K37" s="66">
        <f t="shared" si="9"/>
        <v>72.463768115942017</v>
      </c>
      <c r="L37" s="63">
        <f t="shared" si="10"/>
        <v>238.0952380952381</v>
      </c>
      <c r="M37" s="61">
        <f t="shared" si="11"/>
        <v>141.77693761814746</v>
      </c>
      <c r="N37" s="76">
        <f t="shared" si="12"/>
        <v>72.463768115942017</v>
      </c>
      <c r="O37" s="75">
        <f t="shared" si="13"/>
        <v>476.1904761904762</v>
      </c>
      <c r="P37" s="61">
        <f t="shared" si="14"/>
        <v>141.77693761814746</v>
      </c>
      <c r="Q37" s="76">
        <f t="shared" si="15"/>
        <v>72.463768115942017</v>
      </c>
      <c r="R37" s="75">
        <f t="shared" si="16"/>
        <v>476.1904761904762</v>
      </c>
      <c r="S37" s="61">
        <f t="shared" si="17"/>
        <v>0</v>
      </c>
      <c r="T37" s="76">
        <f t="shared" si="18"/>
        <v>0</v>
      </c>
      <c r="U37" s="75">
        <f t="shared" si="19"/>
        <v>476.1904761904762</v>
      </c>
      <c r="W37" s="80">
        <f>Z37+AC37+AF37+AI37</f>
        <v>500</v>
      </c>
      <c r="X37" s="80">
        <f t="shared" si="20"/>
        <v>300</v>
      </c>
      <c r="Y37" s="80">
        <f t="shared" si="20"/>
        <v>2000</v>
      </c>
      <c r="Z37" s="98">
        <v>300</v>
      </c>
      <c r="AA37" s="99">
        <v>100</v>
      </c>
      <c r="AB37" s="100">
        <v>300</v>
      </c>
      <c r="AC37" s="101">
        <v>100</v>
      </c>
      <c r="AD37" s="99">
        <v>100</v>
      </c>
      <c r="AE37" s="100">
        <v>600</v>
      </c>
      <c r="AF37" s="101">
        <v>100</v>
      </c>
      <c r="AG37" s="99">
        <v>100</v>
      </c>
      <c r="AH37" s="100">
        <v>600</v>
      </c>
      <c r="AI37" s="101">
        <v>0</v>
      </c>
      <c r="AJ37" s="99">
        <v>0</v>
      </c>
      <c r="AK37" s="145">
        <v>500</v>
      </c>
    </row>
    <row r="38" spans="1:37" x14ac:dyDescent="0.35">
      <c r="A38" s="44" t="s">
        <v>42</v>
      </c>
      <c r="B38" s="45" t="s">
        <v>18</v>
      </c>
      <c r="C38" s="46" t="s">
        <v>64</v>
      </c>
      <c r="D38" s="61">
        <v>300</v>
      </c>
      <c r="E38" s="66">
        <v>100</v>
      </c>
      <c r="F38" s="63">
        <v>500</v>
      </c>
      <c r="G38" s="80">
        <f t="shared" si="21"/>
        <v>567.10775047258983</v>
      </c>
      <c r="H38" s="125">
        <f t="shared" si="6"/>
        <v>217.39130434782606</v>
      </c>
      <c r="I38" s="163">
        <f t="shared" si="7"/>
        <v>833.33333333333337</v>
      </c>
      <c r="J38" s="61">
        <f t="shared" si="8"/>
        <v>283.55387523629491</v>
      </c>
      <c r="K38" s="66">
        <f t="shared" si="9"/>
        <v>72.463768115942017</v>
      </c>
      <c r="L38" s="63">
        <f t="shared" si="10"/>
        <v>119.04761904761905</v>
      </c>
      <c r="M38" s="61">
        <f t="shared" si="11"/>
        <v>141.77693761814746</v>
      </c>
      <c r="N38" s="76">
        <f t="shared" si="12"/>
        <v>72.463768115942017</v>
      </c>
      <c r="O38" s="75">
        <f t="shared" si="13"/>
        <v>238.0952380952381</v>
      </c>
      <c r="P38" s="61">
        <f t="shared" si="14"/>
        <v>141.77693761814746</v>
      </c>
      <c r="Q38" s="76">
        <f t="shared" si="15"/>
        <v>72.463768115942017</v>
      </c>
      <c r="R38" s="75">
        <f t="shared" si="16"/>
        <v>238.0952380952381</v>
      </c>
      <c r="S38" s="61">
        <f t="shared" si="17"/>
        <v>0</v>
      </c>
      <c r="T38" s="76">
        <f t="shared" si="18"/>
        <v>0</v>
      </c>
      <c r="U38" s="75">
        <f t="shared" si="19"/>
        <v>238.0952380952381</v>
      </c>
      <c r="W38" s="80">
        <f t="shared" si="20"/>
        <v>500</v>
      </c>
      <c r="X38" s="80">
        <f t="shared" si="20"/>
        <v>300</v>
      </c>
      <c r="Y38" s="80">
        <f t="shared" si="20"/>
        <v>1100</v>
      </c>
      <c r="Z38" s="103">
        <v>300</v>
      </c>
      <c r="AA38" s="67">
        <v>100</v>
      </c>
      <c r="AB38" s="64">
        <v>200</v>
      </c>
      <c r="AC38" s="65">
        <v>100</v>
      </c>
      <c r="AD38" s="67">
        <v>100</v>
      </c>
      <c r="AE38" s="64">
        <v>300</v>
      </c>
      <c r="AF38" s="65">
        <v>100</v>
      </c>
      <c r="AG38" s="67">
        <v>100</v>
      </c>
      <c r="AH38" s="64">
        <v>300</v>
      </c>
      <c r="AI38" s="65">
        <v>0</v>
      </c>
      <c r="AJ38" s="67">
        <v>0</v>
      </c>
      <c r="AK38" s="104">
        <v>300</v>
      </c>
    </row>
    <row r="39" spans="1:37" ht="18.600000000000001" thickBot="1" x14ac:dyDescent="0.4">
      <c r="A39" s="47" t="s">
        <v>42</v>
      </c>
      <c r="B39" s="48" t="s">
        <v>18</v>
      </c>
      <c r="C39" s="49" t="s">
        <v>17</v>
      </c>
      <c r="D39" s="68">
        <v>300</v>
      </c>
      <c r="E39" s="69">
        <v>100</v>
      </c>
      <c r="F39" s="70">
        <v>250</v>
      </c>
      <c r="G39" s="126">
        <f t="shared" si="21"/>
        <v>567.10775047258983</v>
      </c>
      <c r="H39" s="127">
        <f t="shared" si="6"/>
        <v>217.39130434782606</v>
      </c>
      <c r="I39" s="163">
        <f t="shared" si="7"/>
        <v>416.66666666666669</v>
      </c>
      <c r="J39" s="68">
        <f t="shared" si="8"/>
        <v>283.55387523629491</v>
      </c>
      <c r="K39" s="69">
        <f t="shared" si="9"/>
        <v>72.463768115942017</v>
      </c>
      <c r="L39" s="70">
        <f t="shared" si="10"/>
        <v>59.523809523809526</v>
      </c>
      <c r="M39" s="68">
        <f t="shared" si="11"/>
        <v>141.77693761814746</v>
      </c>
      <c r="N39" s="78">
        <f t="shared" si="12"/>
        <v>72.463768115942017</v>
      </c>
      <c r="O39" s="79">
        <f t="shared" si="13"/>
        <v>119.04761904761905</v>
      </c>
      <c r="P39" s="68">
        <f t="shared" si="14"/>
        <v>141.77693761814746</v>
      </c>
      <c r="Q39" s="78">
        <f t="shared" si="15"/>
        <v>72.463768115942017</v>
      </c>
      <c r="R39" s="79">
        <f t="shared" si="16"/>
        <v>119.04761904761905</v>
      </c>
      <c r="S39" s="68">
        <f t="shared" si="17"/>
        <v>0</v>
      </c>
      <c r="T39" s="78">
        <f t="shared" si="18"/>
        <v>0</v>
      </c>
      <c r="U39" s="79">
        <f t="shared" si="19"/>
        <v>119.04761904761905</v>
      </c>
      <c r="W39" s="80">
        <f t="shared" si="20"/>
        <v>500</v>
      </c>
      <c r="X39" s="80">
        <f t="shared" si="20"/>
        <v>300</v>
      </c>
      <c r="Y39" s="80">
        <f t="shared" si="20"/>
        <v>600</v>
      </c>
      <c r="Z39" s="105">
        <v>300</v>
      </c>
      <c r="AA39" s="106">
        <v>100</v>
      </c>
      <c r="AB39" s="107">
        <v>100</v>
      </c>
      <c r="AC39" s="108">
        <v>100</v>
      </c>
      <c r="AD39" s="106">
        <v>100</v>
      </c>
      <c r="AE39" s="107">
        <v>200</v>
      </c>
      <c r="AF39" s="108">
        <v>100</v>
      </c>
      <c r="AG39" s="106">
        <v>100</v>
      </c>
      <c r="AH39" s="107">
        <v>200</v>
      </c>
      <c r="AI39" s="108">
        <v>0</v>
      </c>
      <c r="AJ39" s="106">
        <v>0</v>
      </c>
      <c r="AK39" s="109">
        <v>100</v>
      </c>
    </row>
    <row r="40" spans="1:37" x14ac:dyDescent="0.35">
      <c r="L40" s="51"/>
    </row>
  </sheetData>
  <mergeCells count="21">
    <mergeCell ref="D4:F4"/>
    <mergeCell ref="G4:I4"/>
    <mergeCell ref="D1:I1"/>
    <mergeCell ref="J1:L1"/>
    <mergeCell ref="M1:O1"/>
    <mergeCell ref="G3:I3"/>
    <mergeCell ref="J3:L3"/>
    <mergeCell ref="M3:O3"/>
    <mergeCell ref="D2:I2"/>
    <mergeCell ref="J2:L2"/>
    <mergeCell ref="M2:O2"/>
    <mergeCell ref="P1:R1"/>
    <mergeCell ref="S1:U1"/>
    <mergeCell ref="Z11:AB11"/>
    <mergeCell ref="AC11:AE11"/>
    <mergeCell ref="AF11:AH11"/>
    <mergeCell ref="AI11:AK11"/>
    <mergeCell ref="P3:R3"/>
    <mergeCell ref="S3:U3"/>
    <mergeCell ref="P2:R2"/>
    <mergeCell ref="S2:U2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0F29B-69F2-444C-B686-34275AA23A6A}">
  <sheetPr>
    <tabColor rgb="FFCCFFCC"/>
  </sheetPr>
  <dimension ref="A1:AK40"/>
  <sheetViews>
    <sheetView zoomScale="70" zoomScaleNormal="70" workbookViewId="0">
      <selection activeCell="AF13" sqref="AF13"/>
    </sheetView>
  </sheetViews>
  <sheetFormatPr defaultRowHeight="18" x14ac:dyDescent="0.35"/>
  <cols>
    <col min="1" max="1" width="6.109375" style="3" customWidth="1"/>
    <col min="2" max="2" width="7.5546875" style="3" customWidth="1"/>
    <col min="3" max="3" width="5.88671875" style="3" customWidth="1"/>
    <col min="4" max="4" width="6.77734375" style="3" customWidth="1"/>
    <col min="5" max="5" width="6.5546875" style="3" customWidth="1"/>
    <col min="6" max="6" width="7.21875" style="3" customWidth="1"/>
    <col min="7" max="7" width="6" style="3" bestFit="1" customWidth="1"/>
    <col min="8" max="8" width="7" style="3" bestFit="1" customWidth="1"/>
    <col min="9" max="10" width="6" style="3" bestFit="1" customWidth="1"/>
    <col min="11" max="11" width="7" style="3" bestFit="1" customWidth="1"/>
    <col min="12" max="13" width="6" style="3" bestFit="1" customWidth="1"/>
    <col min="14" max="14" width="7" style="3" bestFit="1" customWidth="1"/>
    <col min="15" max="16" width="6" style="3" bestFit="1" customWidth="1"/>
    <col min="17" max="17" width="7" style="3" bestFit="1" customWidth="1"/>
    <col min="18" max="19" width="6" style="3" bestFit="1" customWidth="1"/>
    <col min="20" max="20" width="7" style="3" bestFit="1" customWidth="1"/>
    <col min="21" max="21" width="6" style="3" bestFit="1" customWidth="1"/>
    <col min="22" max="16384" width="8.88671875" style="3"/>
  </cols>
  <sheetData>
    <row r="1" spans="1:37" ht="15" customHeight="1" x14ac:dyDescent="0.35">
      <c r="A1" s="1" t="s">
        <v>0</v>
      </c>
      <c r="B1" s="1" t="s">
        <v>2</v>
      </c>
      <c r="C1" s="2" t="s">
        <v>4</v>
      </c>
      <c r="D1" s="153" t="s">
        <v>5</v>
      </c>
      <c r="E1" s="153"/>
      <c r="F1" s="153"/>
      <c r="G1" s="153"/>
      <c r="H1" s="153"/>
      <c r="I1" s="154"/>
      <c r="J1" s="152" t="s">
        <v>21</v>
      </c>
      <c r="K1" s="153"/>
      <c r="L1" s="154"/>
      <c r="M1" s="152" t="s">
        <v>24</v>
      </c>
      <c r="N1" s="153"/>
      <c r="O1" s="154"/>
      <c r="P1" s="152" t="s">
        <v>26</v>
      </c>
      <c r="Q1" s="153"/>
      <c r="R1" s="154"/>
      <c r="S1" s="152" t="s">
        <v>28</v>
      </c>
      <c r="T1" s="153"/>
      <c r="U1" s="154"/>
    </row>
    <row r="2" spans="1:37" ht="18.600000000000001" thickBot="1" x14ac:dyDescent="0.4">
      <c r="A2" s="4" t="s">
        <v>1</v>
      </c>
      <c r="B2" s="4" t="s">
        <v>3</v>
      </c>
      <c r="C2" s="5" t="s">
        <v>3</v>
      </c>
      <c r="D2" s="159" t="s">
        <v>6</v>
      </c>
      <c r="E2" s="159"/>
      <c r="F2" s="159"/>
      <c r="G2" s="159"/>
      <c r="H2" s="159"/>
      <c r="I2" s="160"/>
      <c r="J2" s="158" t="s">
        <v>22</v>
      </c>
      <c r="K2" s="159"/>
      <c r="L2" s="160"/>
      <c r="M2" s="158" t="s">
        <v>25</v>
      </c>
      <c r="N2" s="159"/>
      <c r="O2" s="160"/>
      <c r="P2" s="158" t="s">
        <v>27</v>
      </c>
      <c r="Q2" s="159"/>
      <c r="R2" s="160"/>
      <c r="S2" s="158" t="s">
        <v>29</v>
      </c>
      <c r="T2" s="159"/>
      <c r="U2" s="160"/>
    </row>
    <row r="3" spans="1:37" ht="18.600000000000001" thickBot="1" x14ac:dyDescent="0.4">
      <c r="A3" s="6"/>
      <c r="B3" s="6"/>
      <c r="C3" s="7"/>
      <c r="D3" s="8" t="s">
        <v>30</v>
      </c>
      <c r="E3" s="9"/>
      <c r="F3" s="10"/>
      <c r="G3" s="155" t="s">
        <v>32</v>
      </c>
      <c r="H3" s="156"/>
      <c r="I3" s="157"/>
      <c r="J3" s="158" t="s">
        <v>23</v>
      </c>
      <c r="K3" s="159"/>
      <c r="L3" s="160"/>
      <c r="M3" s="158" t="s">
        <v>23</v>
      </c>
      <c r="N3" s="159"/>
      <c r="O3" s="160"/>
      <c r="P3" s="158" t="s">
        <v>23</v>
      </c>
      <c r="Q3" s="159"/>
      <c r="R3" s="160"/>
      <c r="S3" s="158" t="s">
        <v>23</v>
      </c>
      <c r="T3" s="159"/>
      <c r="U3" s="160"/>
    </row>
    <row r="4" spans="1:37" ht="18.600000000000001" thickBot="1" x14ac:dyDescent="0.4">
      <c r="A4" s="6"/>
      <c r="B4" s="6"/>
      <c r="C4" s="7"/>
      <c r="D4" s="155" t="s">
        <v>31</v>
      </c>
      <c r="E4" s="156"/>
      <c r="F4" s="157"/>
      <c r="G4" s="155" t="s">
        <v>31</v>
      </c>
      <c r="H4" s="156"/>
      <c r="I4" s="157"/>
      <c r="J4" s="4"/>
      <c r="K4" s="11"/>
      <c r="L4" s="12"/>
      <c r="M4" s="4"/>
      <c r="N4" s="11"/>
      <c r="O4" s="12"/>
      <c r="P4" s="4"/>
      <c r="Q4" s="11"/>
      <c r="R4" s="12"/>
      <c r="S4" s="4"/>
      <c r="T4" s="11"/>
      <c r="U4" s="12"/>
    </row>
    <row r="5" spans="1:37" ht="18.600000000000001" thickBot="1" x14ac:dyDescent="0.4">
      <c r="A5" s="13"/>
      <c r="B5" s="13"/>
      <c r="C5" s="14"/>
      <c r="D5" s="15" t="s">
        <v>7</v>
      </c>
      <c r="E5" s="15" t="s">
        <v>8</v>
      </c>
      <c r="F5" s="15" t="s">
        <v>9</v>
      </c>
      <c r="G5" s="16" t="s">
        <v>10</v>
      </c>
      <c r="H5" s="15" t="s">
        <v>11</v>
      </c>
      <c r="I5" s="162" t="s">
        <v>47</v>
      </c>
      <c r="J5" s="18" t="s">
        <v>10</v>
      </c>
      <c r="K5" s="15" t="s">
        <v>11</v>
      </c>
      <c r="L5" s="162" t="s">
        <v>47</v>
      </c>
      <c r="M5" s="18" t="s">
        <v>10</v>
      </c>
      <c r="N5" s="15" t="s">
        <v>11</v>
      </c>
      <c r="O5" s="162" t="s">
        <v>47</v>
      </c>
      <c r="P5" s="18" t="s">
        <v>10</v>
      </c>
      <c r="Q5" s="15" t="s">
        <v>11</v>
      </c>
      <c r="R5" s="162" t="s">
        <v>47</v>
      </c>
      <c r="S5" s="18" t="s">
        <v>10</v>
      </c>
      <c r="T5" s="15" t="s">
        <v>11</v>
      </c>
      <c r="U5" s="162" t="s">
        <v>47</v>
      </c>
    </row>
    <row r="6" spans="1:37" ht="18.600000000000001" thickBot="1" x14ac:dyDescent="0.4">
      <c r="A6" s="13"/>
      <c r="B6" s="13" t="s">
        <v>33</v>
      </c>
      <c r="C6" s="50"/>
      <c r="D6" s="52">
        <v>75</v>
      </c>
      <c r="E6" s="52">
        <v>50</v>
      </c>
      <c r="F6" s="52">
        <v>50</v>
      </c>
      <c r="G6" s="53"/>
      <c r="H6" s="60">
        <f>0.15*400</f>
        <v>60</v>
      </c>
      <c r="I6" s="17"/>
      <c r="J6" s="18">
        <v>300</v>
      </c>
      <c r="K6" s="52">
        <v>200</v>
      </c>
      <c r="L6" s="19">
        <v>200</v>
      </c>
      <c r="M6" s="18">
        <v>150</v>
      </c>
      <c r="N6" s="52">
        <v>150</v>
      </c>
      <c r="O6" s="19">
        <v>300</v>
      </c>
      <c r="P6" s="18">
        <v>200</v>
      </c>
      <c r="Q6" s="52">
        <v>100</v>
      </c>
      <c r="R6" s="19">
        <v>300</v>
      </c>
      <c r="S6" s="18">
        <v>0</v>
      </c>
      <c r="T6" s="52">
        <v>0</v>
      </c>
      <c r="U6" s="19">
        <v>150</v>
      </c>
    </row>
    <row r="7" spans="1:37" ht="18.600000000000001" thickBot="1" x14ac:dyDescent="0.4">
      <c r="A7" s="13"/>
      <c r="B7" s="13"/>
      <c r="C7" s="50"/>
      <c r="D7" s="55">
        <f>SUM(J7,M7,P7,S7)</f>
        <v>3.25</v>
      </c>
      <c r="E7" s="55">
        <f>SUM(K7,N7,Q7,T7)</f>
        <v>2.25</v>
      </c>
      <c r="F7" s="55">
        <f>SUM(L7,O7,R7,U7)</f>
        <v>4.75</v>
      </c>
      <c r="G7" s="54"/>
      <c r="H7" s="55"/>
      <c r="I7" s="56"/>
      <c r="J7" s="82">
        <f>J6/200</f>
        <v>1.5</v>
      </c>
      <c r="K7" s="83">
        <f t="shared" ref="K7:U7" si="0">K6/200</f>
        <v>1</v>
      </c>
      <c r="L7" s="84">
        <f t="shared" si="0"/>
        <v>1</v>
      </c>
      <c r="M7" s="82">
        <f t="shared" si="0"/>
        <v>0.75</v>
      </c>
      <c r="N7" s="83">
        <f t="shared" si="0"/>
        <v>0.75</v>
      </c>
      <c r="O7" s="84">
        <f t="shared" si="0"/>
        <v>1.5</v>
      </c>
      <c r="P7" s="82">
        <f t="shared" si="0"/>
        <v>1</v>
      </c>
      <c r="Q7" s="83">
        <f t="shared" si="0"/>
        <v>0.5</v>
      </c>
      <c r="R7" s="84">
        <f t="shared" si="0"/>
        <v>1.5</v>
      </c>
      <c r="S7" s="82">
        <f t="shared" si="0"/>
        <v>0</v>
      </c>
      <c r="T7" s="83">
        <f t="shared" si="0"/>
        <v>0</v>
      </c>
      <c r="U7" s="84">
        <f t="shared" si="0"/>
        <v>0.75</v>
      </c>
    </row>
    <row r="8" spans="1:37" ht="18.600000000000001" thickBot="1" x14ac:dyDescent="0.4">
      <c r="A8" s="13"/>
      <c r="B8" s="13"/>
      <c r="C8" s="50"/>
      <c r="D8" s="55">
        <f>SUM(J8,M8,P8,S8)</f>
        <v>4</v>
      </c>
      <c r="E8" s="52">
        <f t="shared" ref="E8:F8" si="1">SUM(K8,N8,Q8,T8)</f>
        <v>3</v>
      </c>
      <c r="F8" s="52">
        <f t="shared" si="1"/>
        <v>6</v>
      </c>
      <c r="G8" s="54"/>
      <c r="H8" s="55"/>
      <c r="I8" s="56"/>
      <c r="J8" s="57">
        <v>2</v>
      </c>
      <c r="K8" s="55">
        <v>1</v>
      </c>
      <c r="L8" s="58">
        <v>1</v>
      </c>
      <c r="M8" s="57">
        <v>1</v>
      </c>
      <c r="N8" s="55">
        <v>1</v>
      </c>
      <c r="O8" s="58">
        <v>2</v>
      </c>
      <c r="P8" s="57">
        <v>1</v>
      </c>
      <c r="Q8" s="55">
        <v>1</v>
      </c>
      <c r="R8" s="58">
        <v>2</v>
      </c>
      <c r="S8" s="57">
        <v>0</v>
      </c>
      <c r="T8" s="55">
        <v>0</v>
      </c>
      <c r="U8" s="58">
        <v>1</v>
      </c>
    </row>
    <row r="9" spans="1:37" ht="18.600000000000001" thickBot="1" x14ac:dyDescent="0.4">
      <c r="A9" s="13"/>
      <c r="B9" s="13" t="s">
        <v>34</v>
      </c>
      <c r="C9" s="50"/>
      <c r="D9" s="52">
        <v>120</v>
      </c>
      <c r="E9" s="52">
        <v>75</v>
      </c>
      <c r="F9" s="52">
        <v>75</v>
      </c>
      <c r="G9" s="59">
        <f>0.2*500</f>
        <v>100</v>
      </c>
      <c r="H9" s="60">
        <f>0.1*500</f>
        <v>50</v>
      </c>
      <c r="I9" s="17"/>
      <c r="J9" s="18">
        <v>300</v>
      </c>
      <c r="K9" s="52">
        <v>200</v>
      </c>
      <c r="L9" s="19">
        <v>300</v>
      </c>
      <c r="M9" s="18">
        <v>150</v>
      </c>
      <c r="N9" s="52">
        <v>300</v>
      </c>
      <c r="O9" s="19">
        <v>300</v>
      </c>
      <c r="P9" s="18">
        <v>300</v>
      </c>
      <c r="Q9" s="52">
        <v>200</v>
      </c>
      <c r="R9" s="19">
        <v>300</v>
      </c>
      <c r="S9" s="18">
        <v>0</v>
      </c>
      <c r="T9" s="52">
        <v>0</v>
      </c>
      <c r="U9" s="19">
        <v>300</v>
      </c>
    </row>
    <row r="10" spans="1:37" ht="18.600000000000001" thickBot="1" x14ac:dyDescent="0.4">
      <c r="A10" s="13"/>
      <c r="B10" s="13"/>
      <c r="C10" s="50"/>
      <c r="D10" s="55">
        <f>SUM(J10,M10,P10,S10)</f>
        <v>3.75</v>
      </c>
      <c r="E10" s="55">
        <f>SUM(K10,N10,Q10,T10)</f>
        <v>3.5</v>
      </c>
      <c r="F10" s="55">
        <f>SUM(L10,O10,R10,U10)</f>
        <v>6</v>
      </c>
      <c r="G10" s="86">
        <f>AVERAGE(D8,D11)</f>
        <v>4.5</v>
      </c>
      <c r="H10" s="86">
        <f>AVERAGE(E8,E11)</f>
        <v>3.5</v>
      </c>
      <c r="I10" s="87">
        <f>AVERAGE(F8,F11)</f>
        <v>7</v>
      </c>
      <c r="J10" s="82">
        <f t="shared" ref="J10:U10" si="2">J9/200</f>
        <v>1.5</v>
      </c>
      <c r="K10" s="83">
        <f t="shared" si="2"/>
        <v>1</v>
      </c>
      <c r="L10" s="84">
        <f t="shared" si="2"/>
        <v>1.5</v>
      </c>
      <c r="M10" s="82">
        <f t="shared" si="2"/>
        <v>0.75</v>
      </c>
      <c r="N10" s="83">
        <f t="shared" si="2"/>
        <v>1.5</v>
      </c>
      <c r="O10" s="84">
        <f t="shared" si="2"/>
        <v>1.5</v>
      </c>
      <c r="P10" s="82">
        <f>P9/200</f>
        <v>1.5</v>
      </c>
      <c r="Q10" s="83">
        <f t="shared" si="2"/>
        <v>1</v>
      </c>
      <c r="R10" s="84">
        <f t="shared" si="2"/>
        <v>1.5</v>
      </c>
      <c r="S10" s="82">
        <f t="shared" si="2"/>
        <v>0</v>
      </c>
      <c r="T10" s="83">
        <f t="shared" si="2"/>
        <v>0</v>
      </c>
      <c r="U10" s="84">
        <f t="shared" si="2"/>
        <v>1.5</v>
      </c>
    </row>
    <row r="11" spans="1:37" ht="18.600000000000001" thickBot="1" x14ac:dyDescent="0.4">
      <c r="A11" s="13"/>
      <c r="B11" s="13"/>
      <c r="C11" s="50"/>
      <c r="D11" s="55">
        <f>SUM(J11,M11,P11,S11)</f>
        <v>5</v>
      </c>
      <c r="E11" s="52">
        <f t="shared" ref="E11:F11" si="3">SUM(K11,N11,Q11,T11)</f>
        <v>4</v>
      </c>
      <c r="F11" s="52">
        <f t="shared" si="3"/>
        <v>8</v>
      </c>
      <c r="G11" s="54"/>
      <c r="H11" s="55"/>
      <c r="I11" s="56"/>
      <c r="J11" s="57">
        <v>2</v>
      </c>
      <c r="K11" s="55">
        <v>1</v>
      </c>
      <c r="L11" s="58">
        <v>2</v>
      </c>
      <c r="M11" s="57">
        <v>1</v>
      </c>
      <c r="N11" s="55">
        <v>2</v>
      </c>
      <c r="O11" s="58">
        <v>2</v>
      </c>
      <c r="P11" s="57">
        <v>2</v>
      </c>
      <c r="Q11" s="55">
        <v>1</v>
      </c>
      <c r="R11" s="58">
        <v>2</v>
      </c>
      <c r="S11" s="57">
        <v>0</v>
      </c>
      <c r="T11" s="55">
        <v>0</v>
      </c>
      <c r="U11" s="58">
        <v>2</v>
      </c>
      <c r="W11" s="24" t="s">
        <v>61</v>
      </c>
      <c r="X11" s="24"/>
      <c r="Y11" s="24"/>
      <c r="Z11" s="152" t="s">
        <v>36</v>
      </c>
      <c r="AA11" s="153"/>
      <c r="AB11" s="154"/>
      <c r="AC11" s="152" t="s">
        <v>37</v>
      </c>
      <c r="AD11" s="153"/>
      <c r="AE11" s="154"/>
      <c r="AF11" s="152" t="s">
        <v>39</v>
      </c>
      <c r="AG11" s="153"/>
      <c r="AH11" s="154"/>
      <c r="AI11" s="152" t="s">
        <v>38</v>
      </c>
      <c r="AJ11" s="153"/>
      <c r="AK11" s="154"/>
    </row>
    <row r="12" spans="1:37" ht="18.600000000000001" thickBot="1" x14ac:dyDescent="0.4">
      <c r="A12" s="20"/>
      <c r="B12" s="88" t="s">
        <v>35</v>
      </c>
      <c r="C12" s="81"/>
      <c r="D12" s="81"/>
      <c r="E12" s="81"/>
      <c r="F12" s="81"/>
      <c r="G12" s="86">
        <f>SUM(J12,M12,P12,S12)</f>
        <v>4</v>
      </c>
      <c r="H12" s="86">
        <f>SUM(K12,N12,Q12,T12)</f>
        <v>3</v>
      </c>
      <c r="I12" s="87">
        <f>SUM(L12,O12,R12,U12)</f>
        <v>6.5</v>
      </c>
      <c r="J12" s="97">
        <f>AVERAGE(J8,J11)</f>
        <v>2</v>
      </c>
      <c r="K12" s="89">
        <f>AVERAGE(K8,K11)</f>
        <v>1</v>
      </c>
      <c r="L12" s="112">
        <v>1</v>
      </c>
      <c r="M12" s="91">
        <f>AVERAGE(M8,M11)</f>
        <v>1</v>
      </c>
      <c r="N12" s="113">
        <v>1</v>
      </c>
      <c r="O12" s="92">
        <f>AVERAGE(O8,O11)</f>
        <v>2</v>
      </c>
      <c r="P12" s="129">
        <v>1</v>
      </c>
      <c r="Q12" s="86">
        <f>AVERAGE(Q8,Q11)</f>
        <v>1</v>
      </c>
      <c r="R12" s="87">
        <f>AVERAGE(R8,R11)</f>
        <v>2</v>
      </c>
      <c r="S12" s="94">
        <f t="shared" ref="S12:U12" si="4">AVERAGE(S8,S11)</f>
        <v>0</v>
      </c>
      <c r="T12" s="95">
        <f t="shared" si="4"/>
        <v>0</v>
      </c>
      <c r="U12" s="96">
        <f t="shared" si="4"/>
        <v>1.5</v>
      </c>
      <c r="Z12" s="110" t="s">
        <v>10</v>
      </c>
      <c r="AA12" s="110" t="s">
        <v>11</v>
      </c>
      <c r="AB12" s="162" t="s">
        <v>47</v>
      </c>
      <c r="AC12" s="110" t="s">
        <v>10</v>
      </c>
      <c r="AD12" s="110" t="s">
        <v>11</v>
      </c>
      <c r="AE12" s="162" t="s">
        <v>47</v>
      </c>
      <c r="AF12" s="110" t="s">
        <v>10</v>
      </c>
      <c r="AG12" s="110" t="s">
        <v>11</v>
      </c>
      <c r="AH12" s="162" t="s">
        <v>47</v>
      </c>
      <c r="AI12" s="110" t="s">
        <v>10</v>
      </c>
      <c r="AJ12" s="110" t="s">
        <v>11</v>
      </c>
      <c r="AK12" s="162" t="s">
        <v>47</v>
      </c>
    </row>
    <row r="13" spans="1:37" x14ac:dyDescent="0.35">
      <c r="A13" s="21" t="s">
        <v>13</v>
      </c>
      <c r="B13" s="22" t="s">
        <v>14</v>
      </c>
      <c r="C13" s="21" t="s">
        <v>15</v>
      </c>
      <c r="D13" s="61">
        <v>1440</v>
      </c>
      <c r="E13" s="62">
        <v>800</v>
      </c>
      <c r="F13" s="63">
        <v>1360</v>
      </c>
      <c r="G13" s="80">
        <f>(D13-(H13*(18/100)))*(100/46)</f>
        <v>2449.9054820415877</v>
      </c>
      <c r="H13" s="123">
        <f>E13*(100/46)</f>
        <v>1739.1304347826085</v>
      </c>
      <c r="I13" s="163">
        <f>F13*(100/60)</f>
        <v>2266.666666666667</v>
      </c>
      <c r="J13" s="61">
        <f>(G13*$J$12)/$G$12</f>
        <v>1224.9527410207938</v>
      </c>
      <c r="K13" s="62">
        <f>(H13*$K$12)/$H$12</f>
        <v>579.71014492753613</v>
      </c>
      <c r="L13" s="63">
        <f>(I13*$L$12)/$I$12</f>
        <v>348.71794871794879</v>
      </c>
      <c r="M13" s="61">
        <f>(G13*$M$12)/$G$12</f>
        <v>612.47637051039692</v>
      </c>
      <c r="N13" s="74">
        <f>(H13*$N$12)/$H$12</f>
        <v>579.71014492753613</v>
      </c>
      <c r="O13" s="75">
        <f>(I13*$O$12)/$I$12</f>
        <v>697.43589743589757</v>
      </c>
      <c r="P13" s="61">
        <f>(G13*$P$12)/$G$12</f>
        <v>612.47637051039692</v>
      </c>
      <c r="Q13" s="74">
        <f>(H13*$Q$12)/$H$12</f>
        <v>579.71014492753613</v>
      </c>
      <c r="R13" s="75">
        <f>(I13*$R$12)/$I$12</f>
        <v>697.43589743589757</v>
      </c>
      <c r="S13" s="61">
        <f>(G13*$S$12)/$G$12</f>
        <v>0</v>
      </c>
      <c r="T13" s="74">
        <f>(H13*$T$12)/$H$12</f>
        <v>0</v>
      </c>
      <c r="U13" s="75">
        <f>(I13*$U$12)/$I$12</f>
        <v>523.07692307692309</v>
      </c>
      <c r="W13" s="80">
        <f t="shared" ref="W13:Y15" si="5">Z13+AC13+AF13+AI13</f>
        <v>2500</v>
      </c>
      <c r="X13" s="80">
        <f t="shared" si="5"/>
        <v>1800</v>
      </c>
      <c r="Y13" s="80">
        <f t="shared" si="5"/>
        <v>2700</v>
      </c>
      <c r="Z13" s="98">
        <v>1300</v>
      </c>
      <c r="AA13" s="99">
        <v>600</v>
      </c>
      <c r="AB13" s="100">
        <v>400</v>
      </c>
      <c r="AC13" s="101">
        <v>600</v>
      </c>
      <c r="AD13" s="99">
        <v>600</v>
      </c>
      <c r="AE13" s="142">
        <v>900</v>
      </c>
      <c r="AF13" s="101">
        <v>600</v>
      </c>
      <c r="AG13" s="99">
        <v>600</v>
      </c>
      <c r="AH13" s="142">
        <v>900</v>
      </c>
      <c r="AI13" s="101">
        <f t="shared" ref="AI13:AJ33" si="6">S13</f>
        <v>0</v>
      </c>
      <c r="AJ13" s="99">
        <f t="shared" si="6"/>
        <v>0</v>
      </c>
      <c r="AK13" s="145">
        <v>500</v>
      </c>
    </row>
    <row r="14" spans="1:37" x14ac:dyDescent="0.35">
      <c r="A14" s="23" t="s">
        <v>13</v>
      </c>
      <c r="B14" s="22" t="s">
        <v>14</v>
      </c>
      <c r="C14" s="23" t="s">
        <v>64</v>
      </c>
      <c r="D14" s="61">
        <v>1440</v>
      </c>
      <c r="E14" s="66">
        <v>800</v>
      </c>
      <c r="F14" s="63">
        <v>680</v>
      </c>
      <c r="G14" s="80">
        <f>(D14-(H14*(18/100)))*(100/46)</f>
        <v>2449.9054820415877</v>
      </c>
      <c r="H14" s="125">
        <f t="shared" ref="H14:H39" si="7">E14*(100/46)</f>
        <v>1739.1304347826085</v>
      </c>
      <c r="I14" s="163">
        <f t="shared" ref="I14:I39" si="8">F14*(100/60)</f>
        <v>1133.3333333333335</v>
      </c>
      <c r="J14" s="61">
        <f t="shared" ref="J14:J39" si="9">(G14*$J$12)/$G$12</f>
        <v>1224.9527410207938</v>
      </c>
      <c r="K14" s="66">
        <f t="shared" ref="K14:K39" si="10">(H14*$K$12)/$H$12</f>
        <v>579.71014492753613</v>
      </c>
      <c r="L14" s="63">
        <f t="shared" ref="L14:L39" si="11">(I14*$L$12)/$I$12</f>
        <v>174.35897435897439</v>
      </c>
      <c r="M14" s="61">
        <f t="shared" ref="M14:M39" si="12">(G14*$M$12)/$G$12</f>
        <v>612.47637051039692</v>
      </c>
      <c r="N14" s="76">
        <f t="shared" ref="N14:N39" si="13">(H14*$N$12)/$H$12</f>
        <v>579.71014492753613</v>
      </c>
      <c r="O14" s="75">
        <f t="shared" ref="O14:O39" si="14">(I14*$O$12)/$I$12</f>
        <v>348.71794871794879</v>
      </c>
      <c r="P14" s="61">
        <f t="shared" ref="P14:P39" si="15">(G14*$P$12)/$G$12</f>
        <v>612.47637051039692</v>
      </c>
      <c r="Q14" s="76">
        <f t="shared" ref="Q14:Q39" si="16">(H14*$Q$12)/$H$12</f>
        <v>579.71014492753613</v>
      </c>
      <c r="R14" s="75">
        <f t="shared" ref="R14:R39" si="17">(I14*$R$12)/$I$12</f>
        <v>348.71794871794879</v>
      </c>
      <c r="S14" s="61">
        <f t="shared" ref="S14:S39" si="18">(G14*$S$12)/$G$12</f>
        <v>0</v>
      </c>
      <c r="T14" s="76">
        <f t="shared" ref="T14:T39" si="19">(H14*$T$12)/$H$12</f>
        <v>0</v>
      </c>
      <c r="U14" s="75">
        <f t="shared" ref="U14:U39" si="20">(I14*$U$12)/$I$12</f>
        <v>261.53846153846155</v>
      </c>
      <c r="W14" s="80">
        <f t="shared" si="5"/>
        <v>2500</v>
      </c>
      <c r="X14" s="80">
        <f t="shared" si="5"/>
        <v>1800</v>
      </c>
      <c r="Y14" s="80">
        <f t="shared" si="5"/>
        <v>1300</v>
      </c>
      <c r="Z14" s="103">
        <v>1300</v>
      </c>
      <c r="AA14" s="67">
        <v>600</v>
      </c>
      <c r="AB14" s="64">
        <v>200</v>
      </c>
      <c r="AC14" s="65">
        <v>600</v>
      </c>
      <c r="AD14" s="67">
        <v>600</v>
      </c>
      <c r="AE14" s="64">
        <v>400</v>
      </c>
      <c r="AF14" s="65">
        <v>600</v>
      </c>
      <c r="AG14" s="67">
        <v>600</v>
      </c>
      <c r="AH14" s="64">
        <v>400</v>
      </c>
      <c r="AI14" s="65">
        <f t="shared" si="6"/>
        <v>0</v>
      </c>
      <c r="AJ14" s="67">
        <f t="shared" si="6"/>
        <v>0</v>
      </c>
      <c r="AK14" s="146">
        <v>300</v>
      </c>
    </row>
    <row r="15" spans="1:37" s="24" customFormat="1" ht="18.600000000000001" thickBot="1" x14ac:dyDescent="0.4">
      <c r="A15" s="23" t="s">
        <v>13</v>
      </c>
      <c r="B15" s="22" t="s">
        <v>14</v>
      </c>
      <c r="C15" s="23" t="s">
        <v>17</v>
      </c>
      <c r="D15" s="68">
        <v>1440</v>
      </c>
      <c r="E15" s="69">
        <v>800</v>
      </c>
      <c r="F15" s="70">
        <v>360</v>
      </c>
      <c r="G15" s="80">
        <f>(D15-(H15*(18/100)))*(100/46)</f>
        <v>2449.9054820415877</v>
      </c>
      <c r="H15" s="125">
        <f t="shared" si="7"/>
        <v>1739.1304347826085</v>
      </c>
      <c r="I15" s="163">
        <f t="shared" si="8"/>
        <v>600</v>
      </c>
      <c r="J15" s="61">
        <f t="shared" si="9"/>
        <v>1224.9527410207938</v>
      </c>
      <c r="K15" s="66">
        <f t="shared" si="10"/>
        <v>579.71014492753613</v>
      </c>
      <c r="L15" s="63">
        <f t="shared" si="11"/>
        <v>92.307692307692307</v>
      </c>
      <c r="M15" s="61">
        <f t="shared" si="12"/>
        <v>612.47637051039692</v>
      </c>
      <c r="N15" s="76">
        <f t="shared" si="13"/>
        <v>579.71014492753613</v>
      </c>
      <c r="O15" s="75">
        <f t="shared" si="14"/>
        <v>184.61538461538461</v>
      </c>
      <c r="P15" s="61">
        <f t="shared" si="15"/>
        <v>612.47637051039692</v>
      </c>
      <c r="Q15" s="76">
        <f t="shared" si="16"/>
        <v>579.71014492753613</v>
      </c>
      <c r="R15" s="75">
        <f t="shared" si="17"/>
        <v>184.61538461538461</v>
      </c>
      <c r="S15" s="61">
        <f t="shared" si="18"/>
        <v>0</v>
      </c>
      <c r="T15" s="76">
        <f t="shared" si="19"/>
        <v>0</v>
      </c>
      <c r="U15" s="75">
        <f t="shared" si="20"/>
        <v>138.46153846153845</v>
      </c>
      <c r="W15" s="80">
        <f t="shared" si="5"/>
        <v>2500</v>
      </c>
      <c r="X15" s="80">
        <f t="shared" si="5"/>
        <v>1800</v>
      </c>
      <c r="Y15" s="80">
        <f t="shared" si="5"/>
        <v>700</v>
      </c>
      <c r="Z15" s="105">
        <v>1300</v>
      </c>
      <c r="AA15" s="106">
        <v>600</v>
      </c>
      <c r="AB15" s="107">
        <v>100</v>
      </c>
      <c r="AC15" s="108">
        <v>600</v>
      </c>
      <c r="AD15" s="106">
        <v>600</v>
      </c>
      <c r="AE15" s="107">
        <v>200</v>
      </c>
      <c r="AF15" s="108">
        <v>600</v>
      </c>
      <c r="AG15" s="106">
        <v>600</v>
      </c>
      <c r="AH15" s="107">
        <v>200</v>
      </c>
      <c r="AI15" s="108">
        <f t="shared" si="6"/>
        <v>0</v>
      </c>
      <c r="AJ15" s="106">
        <f t="shared" si="6"/>
        <v>0</v>
      </c>
      <c r="AK15" s="109">
        <v>200</v>
      </c>
    </row>
    <row r="16" spans="1:37" x14ac:dyDescent="0.35">
      <c r="A16" s="25" t="s">
        <v>13</v>
      </c>
      <c r="B16" s="26" t="s">
        <v>63</v>
      </c>
      <c r="C16" s="25" t="s">
        <v>15</v>
      </c>
      <c r="D16" s="71">
        <v>1440</v>
      </c>
      <c r="E16" s="62">
        <v>400</v>
      </c>
      <c r="F16" s="72">
        <v>1360</v>
      </c>
      <c r="G16" s="80">
        <f>(D16-(H16*(18/100)))*(100/46)</f>
        <v>2790.1701323251418</v>
      </c>
      <c r="H16" s="125">
        <f t="shared" si="7"/>
        <v>869.56521739130426</v>
      </c>
      <c r="I16" s="163">
        <f t="shared" si="8"/>
        <v>2266.666666666667</v>
      </c>
      <c r="J16" s="61">
        <f t="shared" si="9"/>
        <v>1395.0850661625709</v>
      </c>
      <c r="K16" s="66">
        <f t="shared" si="10"/>
        <v>289.85507246376807</v>
      </c>
      <c r="L16" s="63">
        <f t="shared" si="11"/>
        <v>348.71794871794879</v>
      </c>
      <c r="M16" s="61">
        <f t="shared" si="12"/>
        <v>697.54253308128546</v>
      </c>
      <c r="N16" s="76">
        <f t="shared" si="13"/>
        <v>289.85507246376807</v>
      </c>
      <c r="O16" s="75">
        <f t="shared" si="14"/>
        <v>697.43589743589757</v>
      </c>
      <c r="P16" s="61">
        <f t="shared" si="15"/>
        <v>697.54253308128546</v>
      </c>
      <c r="Q16" s="76">
        <f t="shared" si="16"/>
        <v>289.85507246376807</v>
      </c>
      <c r="R16" s="75">
        <f t="shared" si="17"/>
        <v>697.43589743589757</v>
      </c>
      <c r="S16" s="61">
        <f t="shared" si="18"/>
        <v>0</v>
      </c>
      <c r="T16" s="76">
        <f t="shared" si="19"/>
        <v>0</v>
      </c>
      <c r="U16" s="75">
        <f t="shared" si="20"/>
        <v>523.07692307692309</v>
      </c>
      <c r="W16" s="80">
        <f>Z16+AC16+AF16+AI16</f>
        <v>2800</v>
      </c>
      <c r="X16" s="80">
        <f>AA16+AD16+AG16+AJ16</f>
        <v>900</v>
      </c>
      <c r="Y16" s="80">
        <f t="shared" ref="W16:Y39" si="21">AB16+AE16+AH16+AK16</f>
        <v>2700</v>
      </c>
      <c r="Z16" s="103">
        <v>1400</v>
      </c>
      <c r="AA16" s="67">
        <v>300</v>
      </c>
      <c r="AB16" s="100">
        <v>400</v>
      </c>
      <c r="AC16" s="65">
        <v>700</v>
      </c>
      <c r="AD16" s="67">
        <v>300</v>
      </c>
      <c r="AE16" s="142">
        <v>900</v>
      </c>
      <c r="AF16" s="65">
        <v>700</v>
      </c>
      <c r="AG16" s="67">
        <v>300</v>
      </c>
      <c r="AH16" s="142">
        <v>900</v>
      </c>
      <c r="AI16" s="65">
        <f t="shared" si="6"/>
        <v>0</v>
      </c>
      <c r="AJ16" s="67">
        <f t="shared" si="6"/>
        <v>0</v>
      </c>
      <c r="AK16" s="145">
        <v>500</v>
      </c>
    </row>
    <row r="17" spans="1:37" x14ac:dyDescent="0.35">
      <c r="A17" s="25" t="s">
        <v>13</v>
      </c>
      <c r="B17" s="26" t="s">
        <v>63</v>
      </c>
      <c r="C17" s="25" t="s">
        <v>64</v>
      </c>
      <c r="D17" s="61">
        <v>1440</v>
      </c>
      <c r="E17" s="66">
        <v>400</v>
      </c>
      <c r="F17" s="63">
        <v>680</v>
      </c>
      <c r="G17" s="80">
        <f>(D17-(H17*(18/100)))*(100/46)</f>
        <v>2790.1701323251418</v>
      </c>
      <c r="H17" s="125">
        <f t="shared" si="7"/>
        <v>869.56521739130426</v>
      </c>
      <c r="I17" s="163">
        <f t="shared" si="8"/>
        <v>1133.3333333333335</v>
      </c>
      <c r="J17" s="61">
        <f t="shared" si="9"/>
        <v>1395.0850661625709</v>
      </c>
      <c r="K17" s="66">
        <f t="shared" si="10"/>
        <v>289.85507246376807</v>
      </c>
      <c r="L17" s="63">
        <f t="shared" si="11"/>
        <v>174.35897435897439</v>
      </c>
      <c r="M17" s="61">
        <f t="shared" si="12"/>
        <v>697.54253308128546</v>
      </c>
      <c r="N17" s="76">
        <f t="shared" si="13"/>
        <v>289.85507246376807</v>
      </c>
      <c r="O17" s="75">
        <f t="shared" si="14"/>
        <v>348.71794871794879</v>
      </c>
      <c r="P17" s="61">
        <f t="shared" si="15"/>
        <v>697.54253308128546</v>
      </c>
      <c r="Q17" s="76">
        <f t="shared" si="16"/>
        <v>289.85507246376807</v>
      </c>
      <c r="R17" s="75">
        <f t="shared" si="17"/>
        <v>348.71794871794879</v>
      </c>
      <c r="S17" s="61">
        <f t="shared" si="18"/>
        <v>0</v>
      </c>
      <c r="T17" s="76">
        <f t="shared" si="19"/>
        <v>0</v>
      </c>
      <c r="U17" s="75">
        <f t="shared" si="20"/>
        <v>261.53846153846155</v>
      </c>
      <c r="W17" s="80">
        <f t="shared" si="21"/>
        <v>2800</v>
      </c>
      <c r="X17" s="80">
        <f t="shared" si="21"/>
        <v>900</v>
      </c>
      <c r="Y17" s="80">
        <f t="shared" si="21"/>
        <v>1300</v>
      </c>
      <c r="Z17" s="103">
        <v>1400</v>
      </c>
      <c r="AA17" s="67">
        <v>300</v>
      </c>
      <c r="AB17" s="64">
        <v>200</v>
      </c>
      <c r="AC17" s="65">
        <v>700</v>
      </c>
      <c r="AD17" s="67">
        <v>300</v>
      </c>
      <c r="AE17" s="64">
        <v>400</v>
      </c>
      <c r="AF17" s="65">
        <v>700</v>
      </c>
      <c r="AG17" s="67">
        <v>300</v>
      </c>
      <c r="AH17" s="64">
        <v>400</v>
      </c>
      <c r="AI17" s="65">
        <f t="shared" si="6"/>
        <v>0</v>
      </c>
      <c r="AJ17" s="67">
        <f t="shared" si="6"/>
        <v>0</v>
      </c>
      <c r="AK17" s="146">
        <v>300</v>
      </c>
    </row>
    <row r="18" spans="1:37" ht="18.600000000000001" thickBot="1" x14ac:dyDescent="0.4">
      <c r="A18" s="25" t="s">
        <v>13</v>
      </c>
      <c r="B18" s="26" t="s">
        <v>63</v>
      </c>
      <c r="C18" s="25" t="s">
        <v>17</v>
      </c>
      <c r="D18" s="68">
        <v>1440</v>
      </c>
      <c r="E18" s="69">
        <v>400</v>
      </c>
      <c r="F18" s="70">
        <v>360</v>
      </c>
      <c r="G18" s="80">
        <f t="shared" ref="G18:G39" si="22">(D18-(H18*(18/100)))*(100/46)</f>
        <v>2790.1701323251418</v>
      </c>
      <c r="H18" s="125">
        <f t="shared" si="7"/>
        <v>869.56521739130426</v>
      </c>
      <c r="I18" s="163">
        <f t="shared" si="8"/>
        <v>600</v>
      </c>
      <c r="J18" s="61">
        <f t="shared" si="9"/>
        <v>1395.0850661625709</v>
      </c>
      <c r="K18" s="66">
        <f t="shared" si="10"/>
        <v>289.85507246376807</v>
      </c>
      <c r="L18" s="63">
        <f t="shared" si="11"/>
        <v>92.307692307692307</v>
      </c>
      <c r="M18" s="61">
        <f t="shared" si="12"/>
        <v>697.54253308128546</v>
      </c>
      <c r="N18" s="76">
        <f t="shared" si="13"/>
        <v>289.85507246376807</v>
      </c>
      <c r="O18" s="75">
        <f t="shared" si="14"/>
        <v>184.61538461538461</v>
      </c>
      <c r="P18" s="61">
        <f t="shared" si="15"/>
        <v>697.54253308128546</v>
      </c>
      <c r="Q18" s="76">
        <f t="shared" si="16"/>
        <v>289.85507246376807</v>
      </c>
      <c r="R18" s="75">
        <f t="shared" si="17"/>
        <v>184.61538461538461</v>
      </c>
      <c r="S18" s="61">
        <f t="shared" si="18"/>
        <v>0</v>
      </c>
      <c r="T18" s="76">
        <f t="shared" si="19"/>
        <v>0</v>
      </c>
      <c r="U18" s="75">
        <f t="shared" si="20"/>
        <v>138.46153846153845</v>
      </c>
      <c r="W18" s="80">
        <f t="shared" si="21"/>
        <v>2800</v>
      </c>
      <c r="X18" s="80">
        <f t="shared" si="21"/>
        <v>900</v>
      </c>
      <c r="Y18" s="80">
        <f t="shared" si="21"/>
        <v>700</v>
      </c>
      <c r="Z18" s="103">
        <v>1400</v>
      </c>
      <c r="AA18" s="67">
        <v>300</v>
      </c>
      <c r="AB18" s="107">
        <v>100</v>
      </c>
      <c r="AC18" s="65">
        <v>700</v>
      </c>
      <c r="AD18" s="67">
        <v>300</v>
      </c>
      <c r="AE18" s="107">
        <v>200</v>
      </c>
      <c r="AF18" s="65">
        <v>700</v>
      </c>
      <c r="AG18" s="67">
        <v>300</v>
      </c>
      <c r="AH18" s="107">
        <v>200</v>
      </c>
      <c r="AI18" s="65">
        <f t="shared" si="6"/>
        <v>0</v>
      </c>
      <c r="AJ18" s="67">
        <f t="shared" si="6"/>
        <v>0</v>
      </c>
      <c r="AK18" s="109">
        <v>200</v>
      </c>
    </row>
    <row r="19" spans="1:37" x14ac:dyDescent="0.35">
      <c r="A19" s="27" t="s">
        <v>13</v>
      </c>
      <c r="B19" s="28" t="s">
        <v>18</v>
      </c>
      <c r="C19" s="27" t="s">
        <v>15</v>
      </c>
      <c r="D19" s="61">
        <v>1440</v>
      </c>
      <c r="E19" s="66">
        <v>200</v>
      </c>
      <c r="F19" s="63">
        <v>1360</v>
      </c>
      <c r="G19" s="80">
        <f t="shared" si="22"/>
        <v>2960.3024574669184</v>
      </c>
      <c r="H19" s="125">
        <f t="shared" si="7"/>
        <v>434.78260869565213</v>
      </c>
      <c r="I19" s="163">
        <f t="shared" si="8"/>
        <v>2266.666666666667</v>
      </c>
      <c r="J19" s="61">
        <f t="shared" si="9"/>
        <v>1480.1512287334592</v>
      </c>
      <c r="K19" s="66">
        <f t="shared" si="10"/>
        <v>144.92753623188403</v>
      </c>
      <c r="L19" s="63">
        <f t="shared" si="11"/>
        <v>348.71794871794879</v>
      </c>
      <c r="M19" s="61">
        <f t="shared" si="12"/>
        <v>740.07561436672961</v>
      </c>
      <c r="N19" s="76">
        <f t="shared" si="13"/>
        <v>144.92753623188403</v>
      </c>
      <c r="O19" s="75">
        <f t="shared" si="14"/>
        <v>697.43589743589757</v>
      </c>
      <c r="P19" s="61">
        <f t="shared" si="15"/>
        <v>740.07561436672961</v>
      </c>
      <c r="Q19" s="76">
        <f t="shared" si="16"/>
        <v>144.92753623188403</v>
      </c>
      <c r="R19" s="75">
        <f t="shared" si="17"/>
        <v>697.43589743589757</v>
      </c>
      <c r="S19" s="61">
        <f t="shared" si="18"/>
        <v>0</v>
      </c>
      <c r="T19" s="76">
        <f t="shared" si="19"/>
        <v>0</v>
      </c>
      <c r="U19" s="75">
        <f t="shared" si="20"/>
        <v>523.07692307692309</v>
      </c>
      <c r="W19" s="80">
        <f>Z19+AC19+AF19+AI19</f>
        <v>2900</v>
      </c>
      <c r="X19" s="80">
        <f>AA19+AD19+AG19+AJ19</f>
        <v>600</v>
      </c>
      <c r="Y19" s="80">
        <f>AB19+AE19+AH19+AK19</f>
        <v>2700</v>
      </c>
      <c r="Z19" s="98">
        <v>1500</v>
      </c>
      <c r="AA19" s="99">
        <v>200</v>
      </c>
      <c r="AB19" s="100">
        <v>400</v>
      </c>
      <c r="AC19" s="101">
        <v>700</v>
      </c>
      <c r="AD19" s="139">
        <v>200</v>
      </c>
      <c r="AE19" s="142">
        <v>900</v>
      </c>
      <c r="AF19" s="143">
        <v>700</v>
      </c>
      <c r="AG19" s="139">
        <v>200</v>
      </c>
      <c r="AH19" s="142">
        <v>900</v>
      </c>
      <c r="AI19" s="101">
        <f t="shared" si="6"/>
        <v>0</v>
      </c>
      <c r="AJ19" s="99">
        <f t="shared" si="6"/>
        <v>0</v>
      </c>
      <c r="AK19" s="145">
        <v>500</v>
      </c>
    </row>
    <row r="20" spans="1:37" x14ac:dyDescent="0.35">
      <c r="A20" s="27" t="s">
        <v>13</v>
      </c>
      <c r="B20" s="28" t="s">
        <v>18</v>
      </c>
      <c r="C20" s="27" t="s">
        <v>64</v>
      </c>
      <c r="D20" s="61">
        <v>1440</v>
      </c>
      <c r="E20" s="66">
        <v>200</v>
      </c>
      <c r="F20" s="63">
        <v>680</v>
      </c>
      <c r="G20" s="80">
        <f t="shared" si="22"/>
        <v>2960.3024574669184</v>
      </c>
      <c r="H20" s="125">
        <f t="shared" si="7"/>
        <v>434.78260869565213</v>
      </c>
      <c r="I20" s="163">
        <f t="shared" si="8"/>
        <v>1133.3333333333335</v>
      </c>
      <c r="J20" s="61">
        <f t="shared" si="9"/>
        <v>1480.1512287334592</v>
      </c>
      <c r="K20" s="66">
        <f t="shared" si="10"/>
        <v>144.92753623188403</v>
      </c>
      <c r="L20" s="63">
        <f t="shared" si="11"/>
        <v>174.35897435897439</v>
      </c>
      <c r="M20" s="61">
        <f t="shared" si="12"/>
        <v>740.07561436672961</v>
      </c>
      <c r="N20" s="76">
        <f t="shared" si="13"/>
        <v>144.92753623188403</v>
      </c>
      <c r="O20" s="75">
        <f t="shared" si="14"/>
        <v>348.71794871794879</v>
      </c>
      <c r="P20" s="61">
        <f t="shared" si="15"/>
        <v>740.07561436672961</v>
      </c>
      <c r="Q20" s="76">
        <f t="shared" si="16"/>
        <v>144.92753623188403</v>
      </c>
      <c r="R20" s="75">
        <f t="shared" si="17"/>
        <v>348.71794871794879</v>
      </c>
      <c r="S20" s="61">
        <f t="shared" si="18"/>
        <v>0</v>
      </c>
      <c r="T20" s="76">
        <f t="shared" si="19"/>
        <v>0</v>
      </c>
      <c r="U20" s="75">
        <f t="shared" si="20"/>
        <v>261.53846153846155</v>
      </c>
      <c r="W20" s="80">
        <f t="shared" si="21"/>
        <v>2900</v>
      </c>
      <c r="X20" s="80">
        <f t="shared" si="21"/>
        <v>600</v>
      </c>
      <c r="Y20" s="80">
        <f t="shared" si="21"/>
        <v>1300</v>
      </c>
      <c r="Z20" s="103">
        <v>1500</v>
      </c>
      <c r="AA20" s="67">
        <v>200</v>
      </c>
      <c r="AB20" s="64">
        <v>200</v>
      </c>
      <c r="AC20" s="65">
        <v>700</v>
      </c>
      <c r="AD20" s="140">
        <v>200</v>
      </c>
      <c r="AE20" s="64">
        <v>400</v>
      </c>
      <c r="AF20" s="138">
        <v>700</v>
      </c>
      <c r="AG20" s="140">
        <v>200</v>
      </c>
      <c r="AH20" s="64">
        <v>400</v>
      </c>
      <c r="AI20" s="65">
        <f t="shared" si="6"/>
        <v>0</v>
      </c>
      <c r="AJ20" s="67">
        <f t="shared" si="6"/>
        <v>0</v>
      </c>
      <c r="AK20" s="146">
        <v>300</v>
      </c>
    </row>
    <row r="21" spans="1:37" ht="18.600000000000001" thickBot="1" x14ac:dyDescent="0.4">
      <c r="A21" s="27" t="s">
        <v>13</v>
      </c>
      <c r="B21" s="28" t="s">
        <v>18</v>
      </c>
      <c r="C21" s="27" t="s">
        <v>17</v>
      </c>
      <c r="D21" s="68">
        <v>1440</v>
      </c>
      <c r="E21" s="69">
        <v>200</v>
      </c>
      <c r="F21" s="70">
        <v>360</v>
      </c>
      <c r="G21" s="80">
        <f t="shared" si="22"/>
        <v>2960.3024574669184</v>
      </c>
      <c r="H21" s="125">
        <f t="shared" si="7"/>
        <v>434.78260869565213</v>
      </c>
      <c r="I21" s="163">
        <f t="shared" si="8"/>
        <v>600</v>
      </c>
      <c r="J21" s="61">
        <f t="shared" si="9"/>
        <v>1480.1512287334592</v>
      </c>
      <c r="K21" s="66">
        <f t="shared" si="10"/>
        <v>144.92753623188403</v>
      </c>
      <c r="L21" s="63">
        <f t="shared" si="11"/>
        <v>92.307692307692307</v>
      </c>
      <c r="M21" s="61">
        <f t="shared" si="12"/>
        <v>740.07561436672961</v>
      </c>
      <c r="N21" s="76">
        <f t="shared" si="13"/>
        <v>144.92753623188403</v>
      </c>
      <c r="O21" s="75">
        <f t="shared" si="14"/>
        <v>184.61538461538461</v>
      </c>
      <c r="P21" s="61">
        <f t="shared" si="15"/>
        <v>740.07561436672961</v>
      </c>
      <c r="Q21" s="76">
        <f t="shared" si="16"/>
        <v>144.92753623188403</v>
      </c>
      <c r="R21" s="75">
        <f t="shared" si="17"/>
        <v>184.61538461538461</v>
      </c>
      <c r="S21" s="61">
        <f t="shared" si="18"/>
        <v>0</v>
      </c>
      <c r="T21" s="76">
        <f t="shared" si="19"/>
        <v>0</v>
      </c>
      <c r="U21" s="75">
        <f t="shared" si="20"/>
        <v>138.46153846153845</v>
      </c>
      <c r="W21" s="80">
        <f t="shared" si="21"/>
        <v>2900</v>
      </c>
      <c r="X21" s="80">
        <f t="shared" si="21"/>
        <v>600</v>
      </c>
      <c r="Y21" s="80">
        <f t="shared" si="21"/>
        <v>700</v>
      </c>
      <c r="Z21" s="105">
        <v>1500</v>
      </c>
      <c r="AA21" s="106">
        <v>200</v>
      </c>
      <c r="AB21" s="107">
        <v>100</v>
      </c>
      <c r="AC21" s="108">
        <v>700</v>
      </c>
      <c r="AD21" s="141">
        <v>200</v>
      </c>
      <c r="AE21" s="107">
        <v>200</v>
      </c>
      <c r="AF21" s="144">
        <v>700</v>
      </c>
      <c r="AG21" s="141">
        <v>200</v>
      </c>
      <c r="AH21" s="107">
        <v>200</v>
      </c>
      <c r="AI21" s="108">
        <f t="shared" si="6"/>
        <v>0</v>
      </c>
      <c r="AJ21" s="106">
        <f t="shared" si="6"/>
        <v>0</v>
      </c>
      <c r="AK21" s="109">
        <v>200</v>
      </c>
    </row>
    <row r="22" spans="1:37" x14ac:dyDescent="0.35">
      <c r="A22" s="29" t="s">
        <v>19</v>
      </c>
      <c r="B22" s="30" t="s">
        <v>14</v>
      </c>
      <c r="C22" s="31" t="s">
        <v>15</v>
      </c>
      <c r="D22" s="71">
        <v>720</v>
      </c>
      <c r="E22" s="62">
        <v>800</v>
      </c>
      <c r="F22" s="63">
        <v>1360</v>
      </c>
      <c r="G22" s="80">
        <f t="shared" si="22"/>
        <v>884.68809073724015</v>
      </c>
      <c r="H22" s="125">
        <f t="shared" si="7"/>
        <v>1739.1304347826085</v>
      </c>
      <c r="I22" s="163">
        <f t="shared" si="8"/>
        <v>2266.666666666667</v>
      </c>
      <c r="J22" s="61">
        <f t="shared" si="9"/>
        <v>442.34404536862007</v>
      </c>
      <c r="K22" s="66">
        <f t="shared" si="10"/>
        <v>579.71014492753613</v>
      </c>
      <c r="L22" s="63">
        <f t="shared" si="11"/>
        <v>348.71794871794879</v>
      </c>
      <c r="M22" s="61">
        <f t="shared" si="12"/>
        <v>221.17202268431004</v>
      </c>
      <c r="N22" s="76">
        <f t="shared" si="13"/>
        <v>579.71014492753613</v>
      </c>
      <c r="O22" s="75">
        <f t="shared" si="14"/>
        <v>697.43589743589757</v>
      </c>
      <c r="P22" s="61">
        <f t="shared" si="15"/>
        <v>221.17202268431004</v>
      </c>
      <c r="Q22" s="76">
        <f t="shared" si="16"/>
        <v>579.71014492753613</v>
      </c>
      <c r="R22" s="75">
        <f t="shared" si="17"/>
        <v>697.43589743589757</v>
      </c>
      <c r="S22" s="61">
        <f t="shared" si="18"/>
        <v>0</v>
      </c>
      <c r="T22" s="76">
        <f t="shared" si="19"/>
        <v>0</v>
      </c>
      <c r="U22" s="75">
        <f t="shared" si="20"/>
        <v>523.07692307692309</v>
      </c>
      <c r="W22" s="80">
        <f>Z22+AC22+AF22+AI22</f>
        <v>900</v>
      </c>
      <c r="X22" s="80">
        <f>AA22+AD22+AG22+AJ22</f>
        <v>1800</v>
      </c>
      <c r="Y22" s="80">
        <f t="shared" si="21"/>
        <v>2700</v>
      </c>
      <c r="Z22" s="103">
        <v>500</v>
      </c>
      <c r="AA22" s="99">
        <v>600</v>
      </c>
      <c r="AB22" s="100">
        <v>400</v>
      </c>
      <c r="AC22" s="65">
        <v>200</v>
      </c>
      <c r="AD22" s="99">
        <v>600</v>
      </c>
      <c r="AE22" s="142">
        <v>900</v>
      </c>
      <c r="AF22" s="65">
        <v>200</v>
      </c>
      <c r="AG22" s="99">
        <v>600</v>
      </c>
      <c r="AH22" s="142">
        <v>900</v>
      </c>
      <c r="AI22" s="65">
        <f t="shared" si="6"/>
        <v>0</v>
      </c>
      <c r="AJ22" s="67">
        <f t="shared" si="6"/>
        <v>0</v>
      </c>
      <c r="AK22" s="145">
        <v>500</v>
      </c>
    </row>
    <row r="23" spans="1:37" x14ac:dyDescent="0.35">
      <c r="A23" s="29" t="s">
        <v>19</v>
      </c>
      <c r="B23" s="30" t="s">
        <v>14</v>
      </c>
      <c r="C23" s="31" t="s">
        <v>64</v>
      </c>
      <c r="D23" s="61">
        <v>720</v>
      </c>
      <c r="E23" s="66">
        <v>800</v>
      </c>
      <c r="F23" s="63">
        <v>680</v>
      </c>
      <c r="G23" s="80">
        <f t="shared" si="22"/>
        <v>884.68809073724015</v>
      </c>
      <c r="H23" s="125">
        <f t="shared" si="7"/>
        <v>1739.1304347826085</v>
      </c>
      <c r="I23" s="163">
        <f t="shared" si="8"/>
        <v>1133.3333333333335</v>
      </c>
      <c r="J23" s="61">
        <f t="shared" si="9"/>
        <v>442.34404536862007</v>
      </c>
      <c r="K23" s="66">
        <f t="shared" si="10"/>
        <v>579.71014492753613</v>
      </c>
      <c r="L23" s="63">
        <f t="shared" si="11"/>
        <v>174.35897435897439</v>
      </c>
      <c r="M23" s="61">
        <f t="shared" si="12"/>
        <v>221.17202268431004</v>
      </c>
      <c r="N23" s="76">
        <f t="shared" si="13"/>
        <v>579.71014492753613</v>
      </c>
      <c r="O23" s="75">
        <f t="shared" si="14"/>
        <v>348.71794871794879</v>
      </c>
      <c r="P23" s="61">
        <f t="shared" si="15"/>
        <v>221.17202268431004</v>
      </c>
      <c r="Q23" s="76">
        <f t="shared" si="16"/>
        <v>579.71014492753613</v>
      </c>
      <c r="R23" s="75">
        <f t="shared" si="17"/>
        <v>348.71794871794879</v>
      </c>
      <c r="S23" s="61">
        <f t="shared" si="18"/>
        <v>0</v>
      </c>
      <c r="T23" s="76">
        <f t="shared" si="19"/>
        <v>0</v>
      </c>
      <c r="U23" s="75">
        <f t="shared" si="20"/>
        <v>261.53846153846155</v>
      </c>
      <c r="W23" s="80">
        <f t="shared" si="21"/>
        <v>900</v>
      </c>
      <c r="X23" s="80">
        <f t="shared" si="21"/>
        <v>1800</v>
      </c>
      <c r="Y23" s="80">
        <f t="shared" si="21"/>
        <v>1300</v>
      </c>
      <c r="Z23" s="103">
        <v>500</v>
      </c>
      <c r="AA23" s="67">
        <v>600</v>
      </c>
      <c r="AB23" s="64">
        <v>200</v>
      </c>
      <c r="AC23" s="65">
        <v>200</v>
      </c>
      <c r="AD23" s="67">
        <v>600</v>
      </c>
      <c r="AE23" s="64">
        <v>400</v>
      </c>
      <c r="AF23" s="65">
        <v>200</v>
      </c>
      <c r="AG23" s="67">
        <v>600</v>
      </c>
      <c r="AH23" s="64">
        <v>400</v>
      </c>
      <c r="AI23" s="65">
        <f t="shared" si="6"/>
        <v>0</v>
      </c>
      <c r="AJ23" s="67">
        <f t="shared" si="6"/>
        <v>0</v>
      </c>
      <c r="AK23" s="146">
        <v>300</v>
      </c>
    </row>
    <row r="24" spans="1:37" ht="18.600000000000001" thickBot="1" x14ac:dyDescent="0.4">
      <c r="A24" s="29" t="s">
        <v>19</v>
      </c>
      <c r="B24" s="30" t="s">
        <v>14</v>
      </c>
      <c r="C24" s="31" t="s">
        <v>17</v>
      </c>
      <c r="D24" s="68">
        <v>720</v>
      </c>
      <c r="E24" s="69">
        <v>800</v>
      </c>
      <c r="F24" s="70">
        <v>360</v>
      </c>
      <c r="G24" s="80">
        <f t="shared" si="22"/>
        <v>884.68809073724015</v>
      </c>
      <c r="H24" s="125">
        <f t="shared" si="7"/>
        <v>1739.1304347826085</v>
      </c>
      <c r="I24" s="163">
        <f t="shared" si="8"/>
        <v>600</v>
      </c>
      <c r="J24" s="61">
        <f t="shared" si="9"/>
        <v>442.34404536862007</v>
      </c>
      <c r="K24" s="66">
        <f t="shared" si="10"/>
        <v>579.71014492753613</v>
      </c>
      <c r="L24" s="63">
        <f t="shared" si="11"/>
        <v>92.307692307692307</v>
      </c>
      <c r="M24" s="61">
        <f t="shared" si="12"/>
        <v>221.17202268431004</v>
      </c>
      <c r="N24" s="76">
        <f t="shared" si="13"/>
        <v>579.71014492753613</v>
      </c>
      <c r="O24" s="75">
        <f t="shared" si="14"/>
        <v>184.61538461538461</v>
      </c>
      <c r="P24" s="61">
        <f t="shared" si="15"/>
        <v>221.17202268431004</v>
      </c>
      <c r="Q24" s="76">
        <f t="shared" si="16"/>
        <v>579.71014492753613</v>
      </c>
      <c r="R24" s="75">
        <f t="shared" si="17"/>
        <v>184.61538461538461</v>
      </c>
      <c r="S24" s="61">
        <f t="shared" si="18"/>
        <v>0</v>
      </c>
      <c r="T24" s="76">
        <f t="shared" si="19"/>
        <v>0</v>
      </c>
      <c r="U24" s="75">
        <f t="shared" si="20"/>
        <v>138.46153846153845</v>
      </c>
      <c r="W24" s="80">
        <f t="shared" si="21"/>
        <v>900</v>
      </c>
      <c r="X24" s="80">
        <f t="shared" si="21"/>
        <v>1800</v>
      </c>
      <c r="Y24" s="80">
        <f t="shared" si="21"/>
        <v>700</v>
      </c>
      <c r="Z24" s="103">
        <v>500</v>
      </c>
      <c r="AA24" s="106">
        <v>600</v>
      </c>
      <c r="AB24" s="107">
        <v>100</v>
      </c>
      <c r="AC24" s="65">
        <v>200</v>
      </c>
      <c r="AD24" s="106">
        <v>600</v>
      </c>
      <c r="AE24" s="107">
        <v>200</v>
      </c>
      <c r="AF24" s="65">
        <v>200</v>
      </c>
      <c r="AG24" s="106">
        <v>600</v>
      </c>
      <c r="AH24" s="107">
        <v>200</v>
      </c>
      <c r="AI24" s="65">
        <f t="shared" si="6"/>
        <v>0</v>
      </c>
      <c r="AJ24" s="67">
        <f t="shared" si="6"/>
        <v>0</v>
      </c>
      <c r="AK24" s="109">
        <v>200</v>
      </c>
    </row>
    <row r="25" spans="1:37" x14ac:dyDescent="0.35">
      <c r="A25" s="32" t="s">
        <v>19</v>
      </c>
      <c r="B25" s="33" t="s">
        <v>63</v>
      </c>
      <c r="C25" s="34" t="s">
        <v>15</v>
      </c>
      <c r="D25" s="61">
        <v>720</v>
      </c>
      <c r="E25" s="62">
        <v>400</v>
      </c>
      <c r="F25" s="72">
        <v>1360</v>
      </c>
      <c r="G25" s="80">
        <f t="shared" si="22"/>
        <v>1224.9527410207938</v>
      </c>
      <c r="H25" s="125">
        <f t="shared" si="7"/>
        <v>869.56521739130426</v>
      </c>
      <c r="I25" s="163">
        <f t="shared" si="8"/>
        <v>2266.666666666667</v>
      </c>
      <c r="J25" s="61">
        <f t="shared" si="9"/>
        <v>612.47637051039692</v>
      </c>
      <c r="K25" s="66">
        <f t="shared" si="10"/>
        <v>289.85507246376807</v>
      </c>
      <c r="L25" s="63">
        <f t="shared" si="11"/>
        <v>348.71794871794879</v>
      </c>
      <c r="M25" s="61">
        <f t="shared" si="12"/>
        <v>306.23818525519846</v>
      </c>
      <c r="N25" s="76">
        <f t="shared" si="13"/>
        <v>289.85507246376807</v>
      </c>
      <c r="O25" s="75">
        <f t="shared" si="14"/>
        <v>697.43589743589757</v>
      </c>
      <c r="P25" s="61">
        <f t="shared" si="15"/>
        <v>306.23818525519846</v>
      </c>
      <c r="Q25" s="76">
        <f t="shared" si="16"/>
        <v>289.85507246376807</v>
      </c>
      <c r="R25" s="75">
        <f t="shared" si="17"/>
        <v>697.43589743589757</v>
      </c>
      <c r="S25" s="61">
        <f t="shared" si="18"/>
        <v>0</v>
      </c>
      <c r="T25" s="76">
        <f t="shared" si="19"/>
        <v>0</v>
      </c>
      <c r="U25" s="75">
        <f t="shared" si="20"/>
        <v>523.07692307692309</v>
      </c>
      <c r="W25" s="80">
        <f>Z25+AC25+AF25+AI25</f>
        <v>1200</v>
      </c>
      <c r="X25" s="80">
        <f t="shared" si="21"/>
        <v>900</v>
      </c>
      <c r="Y25" s="80">
        <f t="shared" si="21"/>
        <v>2700</v>
      </c>
      <c r="Z25" s="98">
        <v>600</v>
      </c>
      <c r="AA25" s="67">
        <v>300</v>
      </c>
      <c r="AB25" s="100">
        <v>400</v>
      </c>
      <c r="AC25" s="101">
        <v>300</v>
      </c>
      <c r="AD25" s="67">
        <v>300</v>
      </c>
      <c r="AE25" s="142">
        <v>900</v>
      </c>
      <c r="AF25" s="101">
        <v>300</v>
      </c>
      <c r="AG25" s="67">
        <v>300</v>
      </c>
      <c r="AH25" s="142">
        <v>900</v>
      </c>
      <c r="AI25" s="101">
        <f t="shared" si="6"/>
        <v>0</v>
      </c>
      <c r="AJ25" s="99">
        <f t="shared" si="6"/>
        <v>0</v>
      </c>
      <c r="AK25" s="145">
        <v>500</v>
      </c>
    </row>
    <row r="26" spans="1:37" x14ac:dyDescent="0.35">
      <c r="A26" s="32" t="s">
        <v>19</v>
      </c>
      <c r="B26" s="33" t="s">
        <v>63</v>
      </c>
      <c r="C26" s="34" t="s">
        <v>64</v>
      </c>
      <c r="D26" s="61">
        <v>720</v>
      </c>
      <c r="E26" s="66">
        <v>400</v>
      </c>
      <c r="F26" s="63">
        <v>680</v>
      </c>
      <c r="G26" s="80">
        <f t="shared" si="22"/>
        <v>1224.9527410207938</v>
      </c>
      <c r="H26" s="125">
        <f t="shared" si="7"/>
        <v>869.56521739130426</v>
      </c>
      <c r="I26" s="163">
        <f t="shared" si="8"/>
        <v>1133.3333333333335</v>
      </c>
      <c r="J26" s="61">
        <f t="shared" si="9"/>
        <v>612.47637051039692</v>
      </c>
      <c r="K26" s="66">
        <f t="shared" si="10"/>
        <v>289.85507246376807</v>
      </c>
      <c r="L26" s="63">
        <f t="shared" si="11"/>
        <v>174.35897435897439</v>
      </c>
      <c r="M26" s="61">
        <f t="shared" si="12"/>
        <v>306.23818525519846</v>
      </c>
      <c r="N26" s="76">
        <f t="shared" si="13"/>
        <v>289.85507246376807</v>
      </c>
      <c r="O26" s="75">
        <f t="shared" si="14"/>
        <v>348.71794871794879</v>
      </c>
      <c r="P26" s="61">
        <f t="shared" si="15"/>
        <v>306.23818525519846</v>
      </c>
      <c r="Q26" s="76">
        <f t="shared" si="16"/>
        <v>289.85507246376807</v>
      </c>
      <c r="R26" s="75">
        <f t="shared" si="17"/>
        <v>348.71794871794879</v>
      </c>
      <c r="S26" s="61">
        <f t="shared" si="18"/>
        <v>0</v>
      </c>
      <c r="T26" s="76">
        <f t="shared" si="19"/>
        <v>0</v>
      </c>
      <c r="U26" s="75">
        <f t="shared" si="20"/>
        <v>261.53846153846155</v>
      </c>
      <c r="W26" s="80">
        <f t="shared" si="21"/>
        <v>1200</v>
      </c>
      <c r="X26" s="80">
        <f t="shared" si="21"/>
        <v>900</v>
      </c>
      <c r="Y26" s="80">
        <f t="shared" si="21"/>
        <v>1300</v>
      </c>
      <c r="Z26" s="103">
        <v>600</v>
      </c>
      <c r="AA26" s="67">
        <v>300</v>
      </c>
      <c r="AB26" s="64">
        <v>200</v>
      </c>
      <c r="AC26" s="65">
        <v>300</v>
      </c>
      <c r="AD26" s="67">
        <v>300</v>
      </c>
      <c r="AE26" s="64">
        <v>400</v>
      </c>
      <c r="AF26" s="65">
        <v>300</v>
      </c>
      <c r="AG26" s="67">
        <v>300</v>
      </c>
      <c r="AH26" s="64">
        <v>400</v>
      </c>
      <c r="AI26" s="65">
        <f t="shared" si="6"/>
        <v>0</v>
      </c>
      <c r="AJ26" s="67">
        <f t="shared" si="6"/>
        <v>0</v>
      </c>
      <c r="AK26" s="146">
        <v>300</v>
      </c>
    </row>
    <row r="27" spans="1:37" ht="18.600000000000001" thickBot="1" x14ac:dyDescent="0.4">
      <c r="A27" s="32" t="s">
        <v>19</v>
      </c>
      <c r="B27" s="33" t="s">
        <v>63</v>
      </c>
      <c r="C27" s="34" t="s">
        <v>17</v>
      </c>
      <c r="D27" s="68">
        <v>720</v>
      </c>
      <c r="E27" s="69">
        <v>400</v>
      </c>
      <c r="F27" s="70">
        <v>360</v>
      </c>
      <c r="G27" s="80">
        <f t="shared" si="22"/>
        <v>1224.9527410207938</v>
      </c>
      <c r="H27" s="125">
        <f t="shared" si="7"/>
        <v>869.56521739130426</v>
      </c>
      <c r="I27" s="163">
        <f t="shared" si="8"/>
        <v>600</v>
      </c>
      <c r="J27" s="61">
        <f t="shared" si="9"/>
        <v>612.47637051039692</v>
      </c>
      <c r="K27" s="66">
        <f t="shared" si="10"/>
        <v>289.85507246376807</v>
      </c>
      <c r="L27" s="63">
        <f t="shared" si="11"/>
        <v>92.307692307692307</v>
      </c>
      <c r="M27" s="61">
        <f t="shared" si="12"/>
        <v>306.23818525519846</v>
      </c>
      <c r="N27" s="76">
        <f t="shared" si="13"/>
        <v>289.85507246376807</v>
      </c>
      <c r="O27" s="75">
        <f t="shared" si="14"/>
        <v>184.61538461538461</v>
      </c>
      <c r="P27" s="61">
        <f t="shared" si="15"/>
        <v>306.23818525519846</v>
      </c>
      <c r="Q27" s="76">
        <f t="shared" si="16"/>
        <v>289.85507246376807</v>
      </c>
      <c r="R27" s="75">
        <f t="shared" si="17"/>
        <v>184.61538461538461</v>
      </c>
      <c r="S27" s="61">
        <f t="shared" si="18"/>
        <v>0</v>
      </c>
      <c r="T27" s="76">
        <f t="shared" si="19"/>
        <v>0</v>
      </c>
      <c r="U27" s="75">
        <f t="shared" si="20"/>
        <v>138.46153846153845</v>
      </c>
      <c r="W27" s="80">
        <f t="shared" si="21"/>
        <v>1200</v>
      </c>
      <c r="X27" s="80">
        <f t="shared" si="21"/>
        <v>900</v>
      </c>
      <c r="Y27" s="80">
        <f t="shared" si="21"/>
        <v>700</v>
      </c>
      <c r="Z27" s="105">
        <v>600</v>
      </c>
      <c r="AA27" s="67">
        <v>300</v>
      </c>
      <c r="AB27" s="107">
        <v>100</v>
      </c>
      <c r="AC27" s="108">
        <v>300</v>
      </c>
      <c r="AD27" s="67">
        <v>300</v>
      </c>
      <c r="AE27" s="107">
        <v>200</v>
      </c>
      <c r="AF27" s="108">
        <v>300</v>
      </c>
      <c r="AG27" s="67">
        <v>300</v>
      </c>
      <c r="AH27" s="107">
        <v>200</v>
      </c>
      <c r="AI27" s="108">
        <f t="shared" si="6"/>
        <v>0</v>
      </c>
      <c r="AJ27" s="106">
        <f t="shared" si="6"/>
        <v>0</v>
      </c>
      <c r="AK27" s="109">
        <v>200</v>
      </c>
    </row>
    <row r="28" spans="1:37" x14ac:dyDescent="0.35">
      <c r="A28" s="35" t="s">
        <v>19</v>
      </c>
      <c r="B28" s="36" t="s">
        <v>18</v>
      </c>
      <c r="C28" s="37" t="s">
        <v>15</v>
      </c>
      <c r="D28" s="71">
        <v>720</v>
      </c>
      <c r="E28" s="62">
        <v>200</v>
      </c>
      <c r="F28" s="72">
        <v>1360</v>
      </c>
      <c r="G28" s="80">
        <f t="shared" si="22"/>
        <v>1395.0850661625709</v>
      </c>
      <c r="H28" s="125">
        <f t="shared" si="7"/>
        <v>434.78260869565213</v>
      </c>
      <c r="I28" s="163">
        <f t="shared" si="8"/>
        <v>2266.666666666667</v>
      </c>
      <c r="J28" s="61">
        <f t="shared" si="9"/>
        <v>697.54253308128546</v>
      </c>
      <c r="K28" s="66">
        <f t="shared" si="10"/>
        <v>144.92753623188403</v>
      </c>
      <c r="L28" s="63">
        <f t="shared" si="11"/>
        <v>348.71794871794879</v>
      </c>
      <c r="M28" s="61">
        <f t="shared" si="12"/>
        <v>348.77126654064273</v>
      </c>
      <c r="N28" s="76">
        <f t="shared" si="13"/>
        <v>144.92753623188403</v>
      </c>
      <c r="O28" s="75">
        <f t="shared" si="14"/>
        <v>697.43589743589757</v>
      </c>
      <c r="P28" s="61">
        <f t="shared" si="15"/>
        <v>348.77126654064273</v>
      </c>
      <c r="Q28" s="76">
        <f t="shared" si="16"/>
        <v>144.92753623188403</v>
      </c>
      <c r="R28" s="75">
        <f t="shared" si="17"/>
        <v>697.43589743589757</v>
      </c>
      <c r="S28" s="61">
        <f t="shared" si="18"/>
        <v>0</v>
      </c>
      <c r="T28" s="76">
        <f t="shared" si="19"/>
        <v>0</v>
      </c>
      <c r="U28" s="75">
        <f t="shared" si="20"/>
        <v>523.07692307692309</v>
      </c>
      <c r="W28" s="80">
        <f>Z28+AC28+AF28+AI28</f>
        <v>1500</v>
      </c>
      <c r="X28" s="80">
        <f>AA28+AD28+AG28+AJ28</f>
        <v>600</v>
      </c>
      <c r="Y28" s="80">
        <f t="shared" si="21"/>
        <v>2700</v>
      </c>
      <c r="Z28" s="103">
        <v>700</v>
      </c>
      <c r="AA28" s="99">
        <v>200</v>
      </c>
      <c r="AB28" s="100">
        <v>400</v>
      </c>
      <c r="AC28" s="138">
        <v>400</v>
      </c>
      <c r="AD28" s="139">
        <v>200</v>
      </c>
      <c r="AE28" s="142">
        <v>900</v>
      </c>
      <c r="AF28" s="65">
        <v>400</v>
      </c>
      <c r="AG28" s="139">
        <v>200</v>
      </c>
      <c r="AH28" s="142">
        <v>900</v>
      </c>
      <c r="AI28" s="65">
        <f t="shared" si="6"/>
        <v>0</v>
      </c>
      <c r="AJ28" s="67">
        <f t="shared" si="6"/>
        <v>0</v>
      </c>
      <c r="AK28" s="145">
        <v>500</v>
      </c>
    </row>
    <row r="29" spans="1:37" x14ac:dyDescent="0.35">
      <c r="A29" s="35" t="s">
        <v>19</v>
      </c>
      <c r="B29" s="36" t="s">
        <v>18</v>
      </c>
      <c r="C29" s="37" t="s">
        <v>64</v>
      </c>
      <c r="D29" s="61">
        <v>720</v>
      </c>
      <c r="E29" s="66">
        <v>200</v>
      </c>
      <c r="F29" s="63">
        <v>680</v>
      </c>
      <c r="G29" s="80">
        <f t="shared" si="22"/>
        <v>1395.0850661625709</v>
      </c>
      <c r="H29" s="125">
        <f t="shared" si="7"/>
        <v>434.78260869565213</v>
      </c>
      <c r="I29" s="163">
        <f t="shared" si="8"/>
        <v>1133.3333333333335</v>
      </c>
      <c r="J29" s="61">
        <f t="shared" si="9"/>
        <v>697.54253308128546</v>
      </c>
      <c r="K29" s="66">
        <f t="shared" si="10"/>
        <v>144.92753623188403</v>
      </c>
      <c r="L29" s="63">
        <f t="shared" si="11"/>
        <v>174.35897435897439</v>
      </c>
      <c r="M29" s="61">
        <f t="shared" si="12"/>
        <v>348.77126654064273</v>
      </c>
      <c r="N29" s="76">
        <f t="shared" si="13"/>
        <v>144.92753623188403</v>
      </c>
      <c r="O29" s="75">
        <f t="shared" si="14"/>
        <v>348.71794871794879</v>
      </c>
      <c r="P29" s="61">
        <f t="shared" si="15"/>
        <v>348.77126654064273</v>
      </c>
      <c r="Q29" s="76">
        <f t="shared" si="16"/>
        <v>144.92753623188403</v>
      </c>
      <c r="R29" s="75">
        <f t="shared" si="17"/>
        <v>348.71794871794879</v>
      </c>
      <c r="S29" s="61">
        <f t="shared" si="18"/>
        <v>0</v>
      </c>
      <c r="T29" s="76">
        <f t="shared" si="19"/>
        <v>0</v>
      </c>
      <c r="U29" s="75">
        <f t="shared" si="20"/>
        <v>261.53846153846155</v>
      </c>
      <c r="W29" s="80">
        <f t="shared" si="21"/>
        <v>1500</v>
      </c>
      <c r="X29" s="80">
        <f t="shared" si="21"/>
        <v>600</v>
      </c>
      <c r="Y29" s="80">
        <f t="shared" si="21"/>
        <v>1300</v>
      </c>
      <c r="Z29" s="103">
        <v>700</v>
      </c>
      <c r="AA29" s="67">
        <v>200</v>
      </c>
      <c r="AB29" s="64">
        <v>200</v>
      </c>
      <c r="AC29" s="138">
        <v>400</v>
      </c>
      <c r="AD29" s="140">
        <v>200</v>
      </c>
      <c r="AE29" s="64">
        <v>400</v>
      </c>
      <c r="AF29" s="65">
        <v>400</v>
      </c>
      <c r="AG29" s="140">
        <v>200</v>
      </c>
      <c r="AH29" s="64">
        <v>400</v>
      </c>
      <c r="AI29" s="65">
        <f t="shared" si="6"/>
        <v>0</v>
      </c>
      <c r="AJ29" s="67">
        <f t="shared" si="6"/>
        <v>0</v>
      </c>
      <c r="AK29" s="146">
        <v>300</v>
      </c>
    </row>
    <row r="30" spans="1:37" ht="18.600000000000001" thickBot="1" x14ac:dyDescent="0.4">
      <c r="A30" s="35" t="s">
        <v>19</v>
      </c>
      <c r="B30" s="36" t="s">
        <v>18</v>
      </c>
      <c r="C30" s="37" t="s">
        <v>17</v>
      </c>
      <c r="D30" s="68">
        <v>720</v>
      </c>
      <c r="E30" s="69">
        <v>200</v>
      </c>
      <c r="F30" s="70">
        <v>360</v>
      </c>
      <c r="G30" s="80">
        <f t="shared" si="22"/>
        <v>1395.0850661625709</v>
      </c>
      <c r="H30" s="125">
        <f t="shared" si="7"/>
        <v>434.78260869565213</v>
      </c>
      <c r="I30" s="163">
        <f t="shared" si="8"/>
        <v>600</v>
      </c>
      <c r="J30" s="61">
        <f t="shared" si="9"/>
        <v>697.54253308128546</v>
      </c>
      <c r="K30" s="66">
        <f t="shared" si="10"/>
        <v>144.92753623188403</v>
      </c>
      <c r="L30" s="63">
        <f t="shared" si="11"/>
        <v>92.307692307692307</v>
      </c>
      <c r="M30" s="61">
        <f t="shared" si="12"/>
        <v>348.77126654064273</v>
      </c>
      <c r="N30" s="76">
        <f t="shared" si="13"/>
        <v>144.92753623188403</v>
      </c>
      <c r="O30" s="75">
        <f t="shared" si="14"/>
        <v>184.61538461538461</v>
      </c>
      <c r="P30" s="61">
        <f t="shared" si="15"/>
        <v>348.77126654064273</v>
      </c>
      <c r="Q30" s="76">
        <f t="shared" si="16"/>
        <v>144.92753623188403</v>
      </c>
      <c r="R30" s="75">
        <f t="shared" si="17"/>
        <v>184.61538461538461</v>
      </c>
      <c r="S30" s="61">
        <f t="shared" si="18"/>
        <v>0</v>
      </c>
      <c r="T30" s="76">
        <f t="shared" si="19"/>
        <v>0</v>
      </c>
      <c r="U30" s="75">
        <f t="shared" si="20"/>
        <v>138.46153846153845</v>
      </c>
      <c r="W30" s="80">
        <f t="shared" si="21"/>
        <v>1500</v>
      </c>
      <c r="X30" s="80">
        <f t="shared" si="21"/>
        <v>600</v>
      </c>
      <c r="Y30" s="80">
        <f t="shared" si="21"/>
        <v>700</v>
      </c>
      <c r="Z30" s="103">
        <v>700</v>
      </c>
      <c r="AA30" s="106">
        <v>200</v>
      </c>
      <c r="AB30" s="107">
        <v>100</v>
      </c>
      <c r="AC30" s="138">
        <v>400</v>
      </c>
      <c r="AD30" s="141">
        <v>200</v>
      </c>
      <c r="AE30" s="107">
        <v>200</v>
      </c>
      <c r="AF30" s="65">
        <v>400</v>
      </c>
      <c r="AG30" s="141">
        <v>200</v>
      </c>
      <c r="AH30" s="107">
        <v>200</v>
      </c>
      <c r="AI30" s="65">
        <f t="shared" si="6"/>
        <v>0</v>
      </c>
      <c r="AJ30" s="67">
        <f t="shared" si="6"/>
        <v>0</v>
      </c>
      <c r="AK30" s="109">
        <v>200</v>
      </c>
    </row>
    <row r="31" spans="1:37" x14ac:dyDescent="0.35">
      <c r="A31" s="38" t="s">
        <v>20</v>
      </c>
      <c r="B31" s="39" t="s">
        <v>14</v>
      </c>
      <c r="C31" s="40" t="s">
        <v>15</v>
      </c>
      <c r="D31" s="71">
        <v>360</v>
      </c>
      <c r="E31" s="62">
        <v>800</v>
      </c>
      <c r="F31" s="63">
        <v>1360</v>
      </c>
      <c r="G31" s="80">
        <f t="shared" si="22"/>
        <v>102.07939508506628</v>
      </c>
      <c r="H31" s="125">
        <f t="shared" si="7"/>
        <v>1739.1304347826085</v>
      </c>
      <c r="I31" s="163">
        <f t="shared" si="8"/>
        <v>2266.666666666667</v>
      </c>
      <c r="J31" s="61">
        <f t="shared" si="9"/>
        <v>51.039697542533141</v>
      </c>
      <c r="K31" s="66">
        <f t="shared" si="10"/>
        <v>579.71014492753613</v>
      </c>
      <c r="L31" s="63">
        <f t="shared" si="11"/>
        <v>348.71794871794879</v>
      </c>
      <c r="M31" s="61">
        <f t="shared" si="12"/>
        <v>25.51984877126657</v>
      </c>
      <c r="N31" s="76">
        <f t="shared" si="13"/>
        <v>579.71014492753613</v>
      </c>
      <c r="O31" s="75">
        <f t="shared" si="14"/>
        <v>697.43589743589757</v>
      </c>
      <c r="P31" s="61">
        <f t="shared" si="15"/>
        <v>25.51984877126657</v>
      </c>
      <c r="Q31" s="76">
        <f t="shared" si="16"/>
        <v>579.71014492753613</v>
      </c>
      <c r="R31" s="75">
        <f t="shared" si="17"/>
        <v>697.43589743589757</v>
      </c>
      <c r="S31" s="61">
        <f t="shared" si="18"/>
        <v>0</v>
      </c>
      <c r="T31" s="76">
        <f t="shared" si="19"/>
        <v>0</v>
      </c>
      <c r="U31" s="75">
        <f t="shared" si="20"/>
        <v>523.07692307692309</v>
      </c>
      <c r="W31" s="80">
        <f>Z31+AC31+AF31+AI31</f>
        <v>100</v>
      </c>
      <c r="X31" s="80">
        <f t="shared" si="21"/>
        <v>1800</v>
      </c>
      <c r="Y31" s="80">
        <f t="shared" si="21"/>
        <v>2700</v>
      </c>
      <c r="Z31" s="98">
        <v>100</v>
      </c>
      <c r="AA31" s="99">
        <v>600</v>
      </c>
      <c r="AB31" s="100">
        <v>400</v>
      </c>
      <c r="AC31" s="101">
        <v>0</v>
      </c>
      <c r="AD31" s="99">
        <v>600</v>
      </c>
      <c r="AE31" s="142">
        <v>900</v>
      </c>
      <c r="AF31" s="101">
        <v>0</v>
      </c>
      <c r="AG31" s="99">
        <v>600</v>
      </c>
      <c r="AH31" s="142">
        <v>900</v>
      </c>
      <c r="AI31" s="101">
        <f t="shared" si="6"/>
        <v>0</v>
      </c>
      <c r="AJ31" s="99">
        <f t="shared" si="6"/>
        <v>0</v>
      </c>
      <c r="AK31" s="145">
        <v>500</v>
      </c>
    </row>
    <row r="32" spans="1:37" x14ac:dyDescent="0.35">
      <c r="A32" s="38" t="s">
        <v>20</v>
      </c>
      <c r="B32" s="39" t="s">
        <v>14</v>
      </c>
      <c r="C32" s="40" t="s">
        <v>64</v>
      </c>
      <c r="D32" s="61">
        <v>360</v>
      </c>
      <c r="E32" s="66">
        <v>800</v>
      </c>
      <c r="F32" s="63">
        <v>680</v>
      </c>
      <c r="G32" s="80">
        <f t="shared" si="22"/>
        <v>102.07939508506628</v>
      </c>
      <c r="H32" s="125">
        <f t="shared" si="7"/>
        <v>1739.1304347826085</v>
      </c>
      <c r="I32" s="163">
        <f t="shared" si="8"/>
        <v>1133.3333333333335</v>
      </c>
      <c r="J32" s="61">
        <f t="shared" si="9"/>
        <v>51.039697542533141</v>
      </c>
      <c r="K32" s="66">
        <f t="shared" si="10"/>
        <v>579.71014492753613</v>
      </c>
      <c r="L32" s="63">
        <f t="shared" si="11"/>
        <v>174.35897435897439</v>
      </c>
      <c r="M32" s="61">
        <f t="shared" si="12"/>
        <v>25.51984877126657</v>
      </c>
      <c r="N32" s="76">
        <f t="shared" si="13"/>
        <v>579.71014492753613</v>
      </c>
      <c r="O32" s="75">
        <f t="shared" si="14"/>
        <v>348.71794871794879</v>
      </c>
      <c r="P32" s="61">
        <f t="shared" si="15"/>
        <v>25.51984877126657</v>
      </c>
      <c r="Q32" s="76">
        <f t="shared" si="16"/>
        <v>579.71014492753613</v>
      </c>
      <c r="R32" s="75">
        <f t="shared" si="17"/>
        <v>348.71794871794879</v>
      </c>
      <c r="S32" s="61">
        <f t="shared" si="18"/>
        <v>0</v>
      </c>
      <c r="T32" s="76">
        <f t="shared" si="19"/>
        <v>0</v>
      </c>
      <c r="U32" s="75">
        <f t="shared" si="20"/>
        <v>261.53846153846155</v>
      </c>
      <c r="W32" s="80">
        <f t="shared" si="21"/>
        <v>100</v>
      </c>
      <c r="X32" s="80">
        <f t="shared" si="21"/>
        <v>1800</v>
      </c>
      <c r="Y32" s="80">
        <f t="shared" si="21"/>
        <v>1300</v>
      </c>
      <c r="Z32" s="103">
        <v>100</v>
      </c>
      <c r="AA32" s="67">
        <v>600</v>
      </c>
      <c r="AB32" s="64">
        <v>200</v>
      </c>
      <c r="AC32" s="65">
        <v>0</v>
      </c>
      <c r="AD32" s="67">
        <v>600</v>
      </c>
      <c r="AE32" s="64">
        <v>400</v>
      </c>
      <c r="AF32" s="65">
        <v>0</v>
      </c>
      <c r="AG32" s="67">
        <v>600</v>
      </c>
      <c r="AH32" s="64">
        <v>400</v>
      </c>
      <c r="AI32" s="65">
        <f t="shared" si="6"/>
        <v>0</v>
      </c>
      <c r="AJ32" s="67">
        <f t="shared" si="6"/>
        <v>0</v>
      </c>
      <c r="AK32" s="146">
        <v>300</v>
      </c>
    </row>
    <row r="33" spans="1:37" ht="18.600000000000001" thickBot="1" x14ac:dyDescent="0.4">
      <c r="A33" s="38" t="s">
        <v>20</v>
      </c>
      <c r="B33" s="39" t="s">
        <v>14</v>
      </c>
      <c r="C33" s="40" t="s">
        <v>17</v>
      </c>
      <c r="D33" s="68">
        <v>360</v>
      </c>
      <c r="E33" s="69">
        <v>800</v>
      </c>
      <c r="F33" s="70">
        <v>360</v>
      </c>
      <c r="G33" s="80">
        <f t="shared" si="22"/>
        <v>102.07939508506628</v>
      </c>
      <c r="H33" s="125">
        <f t="shared" si="7"/>
        <v>1739.1304347826085</v>
      </c>
      <c r="I33" s="163">
        <f t="shared" si="8"/>
        <v>600</v>
      </c>
      <c r="J33" s="61">
        <f t="shared" si="9"/>
        <v>51.039697542533141</v>
      </c>
      <c r="K33" s="66">
        <f t="shared" si="10"/>
        <v>579.71014492753613</v>
      </c>
      <c r="L33" s="63">
        <f t="shared" si="11"/>
        <v>92.307692307692307</v>
      </c>
      <c r="M33" s="61">
        <f t="shared" si="12"/>
        <v>25.51984877126657</v>
      </c>
      <c r="N33" s="76">
        <f t="shared" si="13"/>
        <v>579.71014492753613</v>
      </c>
      <c r="O33" s="75">
        <f t="shared" si="14"/>
        <v>184.61538461538461</v>
      </c>
      <c r="P33" s="61">
        <f t="shared" si="15"/>
        <v>25.51984877126657</v>
      </c>
      <c r="Q33" s="76">
        <f t="shared" si="16"/>
        <v>579.71014492753613</v>
      </c>
      <c r="R33" s="75">
        <f t="shared" si="17"/>
        <v>184.61538461538461</v>
      </c>
      <c r="S33" s="61">
        <f t="shared" si="18"/>
        <v>0</v>
      </c>
      <c r="T33" s="76">
        <f t="shared" si="19"/>
        <v>0</v>
      </c>
      <c r="U33" s="75">
        <f t="shared" si="20"/>
        <v>138.46153846153845</v>
      </c>
      <c r="W33" s="80">
        <f t="shared" si="21"/>
        <v>100</v>
      </c>
      <c r="X33" s="80">
        <f t="shared" si="21"/>
        <v>1800</v>
      </c>
      <c r="Y33" s="80">
        <f t="shared" si="21"/>
        <v>700</v>
      </c>
      <c r="Z33" s="105">
        <v>100</v>
      </c>
      <c r="AA33" s="106">
        <v>600</v>
      </c>
      <c r="AB33" s="107">
        <v>100</v>
      </c>
      <c r="AC33" s="108">
        <v>0</v>
      </c>
      <c r="AD33" s="106">
        <v>600</v>
      </c>
      <c r="AE33" s="107">
        <v>200</v>
      </c>
      <c r="AF33" s="108">
        <v>0</v>
      </c>
      <c r="AG33" s="106">
        <v>600</v>
      </c>
      <c r="AH33" s="107">
        <v>200</v>
      </c>
      <c r="AI33" s="108">
        <f t="shared" si="6"/>
        <v>0</v>
      </c>
      <c r="AJ33" s="106">
        <f t="shared" si="6"/>
        <v>0</v>
      </c>
      <c r="AK33" s="109">
        <v>200</v>
      </c>
    </row>
    <row r="34" spans="1:37" x14ac:dyDescent="0.35">
      <c r="A34" s="41" t="s">
        <v>20</v>
      </c>
      <c r="B34" s="42" t="s">
        <v>63</v>
      </c>
      <c r="C34" s="43" t="s">
        <v>15</v>
      </c>
      <c r="D34" s="71">
        <v>360</v>
      </c>
      <c r="E34" s="62">
        <v>400</v>
      </c>
      <c r="F34" s="72">
        <v>1360</v>
      </c>
      <c r="G34" s="80">
        <f t="shared" si="22"/>
        <v>442.34404536862007</v>
      </c>
      <c r="H34" s="125">
        <f t="shared" si="7"/>
        <v>869.56521739130426</v>
      </c>
      <c r="I34" s="163">
        <f t="shared" si="8"/>
        <v>2266.666666666667</v>
      </c>
      <c r="J34" s="61">
        <f t="shared" si="9"/>
        <v>221.17202268431004</v>
      </c>
      <c r="K34" s="66">
        <f t="shared" si="10"/>
        <v>289.85507246376807</v>
      </c>
      <c r="L34" s="63">
        <f t="shared" si="11"/>
        <v>348.71794871794879</v>
      </c>
      <c r="M34" s="61">
        <f t="shared" si="12"/>
        <v>110.58601134215502</v>
      </c>
      <c r="N34" s="76">
        <f t="shared" si="13"/>
        <v>289.85507246376807</v>
      </c>
      <c r="O34" s="75">
        <f t="shared" si="14"/>
        <v>697.43589743589757</v>
      </c>
      <c r="P34" s="61">
        <f t="shared" si="15"/>
        <v>110.58601134215502</v>
      </c>
      <c r="Q34" s="76">
        <f t="shared" si="16"/>
        <v>289.85507246376807</v>
      </c>
      <c r="R34" s="75">
        <f t="shared" si="17"/>
        <v>697.43589743589757</v>
      </c>
      <c r="S34" s="61">
        <f t="shared" si="18"/>
        <v>0</v>
      </c>
      <c r="T34" s="76">
        <f t="shared" si="19"/>
        <v>0</v>
      </c>
      <c r="U34" s="75">
        <f t="shared" si="20"/>
        <v>523.07692307692309</v>
      </c>
      <c r="W34" s="80">
        <f>Z34+AC34+AF34+AI34</f>
        <v>400</v>
      </c>
      <c r="X34" s="80">
        <f t="shared" si="21"/>
        <v>900</v>
      </c>
      <c r="Y34" s="80">
        <f t="shared" si="21"/>
        <v>2700</v>
      </c>
      <c r="Z34" s="103">
        <v>200</v>
      </c>
      <c r="AA34" s="67">
        <v>300</v>
      </c>
      <c r="AB34" s="100">
        <v>400</v>
      </c>
      <c r="AC34" s="65">
        <v>100</v>
      </c>
      <c r="AD34" s="67">
        <v>300</v>
      </c>
      <c r="AE34" s="142">
        <v>900</v>
      </c>
      <c r="AF34" s="65">
        <v>100</v>
      </c>
      <c r="AG34" s="67">
        <v>300</v>
      </c>
      <c r="AH34" s="142">
        <v>900</v>
      </c>
      <c r="AI34" s="65">
        <f t="shared" ref="AI34:AJ39" si="23">S34</f>
        <v>0</v>
      </c>
      <c r="AJ34" s="67">
        <f t="shared" si="23"/>
        <v>0</v>
      </c>
      <c r="AK34" s="145">
        <v>500</v>
      </c>
    </row>
    <row r="35" spans="1:37" x14ac:dyDescent="0.35">
      <c r="A35" s="41" t="s">
        <v>20</v>
      </c>
      <c r="B35" s="42" t="s">
        <v>63</v>
      </c>
      <c r="C35" s="43" t="s">
        <v>64</v>
      </c>
      <c r="D35" s="61">
        <v>360</v>
      </c>
      <c r="E35" s="66">
        <v>400</v>
      </c>
      <c r="F35" s="63">
        <v>680</v>
      </c>
      <c r="G35" s="80">
        <f t="shared" si="22"/>
        <v>442.34404536862007</v>
      </c>
      <c r="H35" s="125">
        <f t="shared" si="7"/>
        <v>869.56521739130426</v>
      </c>
      <c r="I35" s="163">
        <f t="shared" si="8"/>
        <v>1133.3333333333335</v>
      </c>
      <c r="J35" s="61">
        <f t="shared" si="9"/>
        <v>221.17202268431004</v>
      </c>
      <c r="K35" s="66">
        <f t="shared" si="10"/>
        <v>289.85507246376807</v>
      </c>
      <c r="L35" s="63">
        <f t="shared" si="11"/>
        <v>174.35897435897439</v>
      </c>
      <c r="M35" s="61">
        <f t="shared" si="12"/>
        <v>110.58601134215502</v>
      </c>
      <c r="N35" s="76">
        <f t="shared" si="13"/>
        <v>289.85507246376807</v>
      </c>
      <c r="O35" s="75">
        <f t="shared" si="14"/>
        <v>348.71794871794879</v>
      </c>
      <c r="P35" s="61">
        <f t="shared" si="15"/>
        <v>110.58601134215502</v>
      </c>
      <c r="Q35" s="76">
        <f t="shared" si="16"/>
        <v>289.85507246376807</v>
      </c>
      <c r="R35" s="75">
        <f t="shared" si="17"/>
        <v>348.71794871794879</v>
      </c>
      <c r="S35" s="61">
        <f t="shared" si="18"/>
        <v>0</v>
      </c>
      <c r="T35" s="76">
        <f t="shared" si="19"/>
        <v>0</v>
      </c>
      <c r="U35" s="75">
        <f t="shared" si="20"/>
        <v>261.53846153846155</v>
      </c>
      <c r="W35" s="80">
        <f t="shared" si="21"/>
        <v>400</v>
      </c>
      <c r="X35" s="80">
        <f t="shared" si="21"/>
        <v>900</v>
      </c>
      <c r="Y35" s="80">
        <f t="shared" si="21"/>
        <v>1300</v>
      </c>
      <c r="Z35" s="103">
        <v>200</v>
      </c>
      <c r="AA35" s="67">
        <v>300</v>
      </c>
      <c r="AB35" s="64">
        <v>200</v>
      </c>
      <c r="AC35" s="65">
        <v>100</v>
      </c>
      <c r="AD35" s="67">
        <v>300</v>
      </c>
      <c r="AE35" s="64">
        <v>400</v>
      </c>
      <c r="AF35" s="65">
        <v>100</v>
      </c>
      <c r="AG35" s="67">
        <v>300</v>
      </c>
      <c r="AH35" s="64">
        <v>400</v>
      </c>
      <c r="AI35" s="65">
        <f t="shared" si="23"/>
        <v>0</v>
      </c>
      <c r="AJ35" s="67">
        <f t="shared" si="23"/>
        <v>0</v>
      </c>
      <c r="AK35" s="146">
        <v>300</v>
      </c>
    </row>
    <row r="36" spans="1:37" ht="18.600000000000001" thickBot="1" x14ac:dyDescent="0.4">
      <c r="A36" s="41" t="s">
        <v>20</v>
      </c>
      <c r="B36" s="42" t="s">
        <v>63</v>
      </c>
      <c r="C36" s="43" t="s">
        <v>17</v>
      </c>
      <c r="D36" s="68">
        <v>360</v>
      </c>
      <c r="E36" s="69">
        <v>400</v>
      </c>
      <c r="F36" s="70">
        <v>360</v>
      </c>
      <c r="G36" s="80">
        <f t="shared" si="22"/>
        <v>442.34404536862007</v>
      </c>
      <c r="H36" s="125">
        <f t="shared" si="7"/>
        <v>869.56521739130426</v>
      </c>
      <c r="I36" s="163">
        <f t="shared" si="8"/>
        <v>600</v>
      </c>
      <c r="J36" s="61">
        <f t="shared" si="9"/>
        <v>221.17202268431004</v>
      </c>
      <c r="K36" s="66">
        <f t="shared" si="10"/>
        <v>289.85507246376807</v>
      </c>
      <c r="L36" s="63">
        <f t="shared" si="11"/>
        <v>92.307692307692307</v>
      </c>
      <c r="M36" s="61">
        <f t="shared" si="12"/>
        <v>110.58601134215502</v>
      </c>
      <c r="N36" s="76">
        <f t="shared" si="13"/>
        <v>289.85507246376807</v>
      </c>
      <c r="O36" s="75">
        <f t="shared" si="14"/>
        <v>184.61538461538461</v>
      </c>
      <c r="P36" s="61">
        <f t="shared" si="15"/>
        <v>110.58601134215502</v>
      </c>
      <c r="Q36" s="76">
        <f t="shared" si="16"/>
        <v>289.85507246376807</v>
      </c>
      <c r="R36" s="75">
        <f t="shared" si="17"/>
        <v>184.61538461538461</v>
      </c>
      <c r="S36" s="61">
        <f t="shared" si="18"/>
        <v>0</v>
      </c>
      <c r="T36" s="76">
        <f t="shared" si="19"/>
        <v>0</v>
      </c>
      <c r="U36" s="75">
        <f t="shared" si="20"/>
        <v>138.46153846153845</v>
      </c>
      <c r="W36" s="80">
        <f t="shared" si="21"/>
        <v>400</v>
      </c>
      <c r="X36" s="80">
        <f t="shared" si="21"/>
        <v>900</v>
      </c>
      <c r="Y36" s="80">
        <f t="shared" si="21"/>
        <v>700</v>
      </c>
      <c r="Z36" s="103">
        <v>200</v>
      </c>
      <c r="AA36" s="67">
        <v>300</v>
      </c>
      <c r="AB36" s="107">
        <v>100</v>
      </c>
      <c r="AC36" s="65">
        <v>100</v>
      </c>
      <c r="AD36" s="67">
        <v>300</v>
      </c>
      <c r="AE36" s="107">
        <v>200</v>
      </c>
      <c r="AF36" s="65">
        <v>100</v>
      </c>
      <c r="AG36" s="67">
        <v>300</v>
      </c>
      <c r="AH36" s="107">
        <v>200</v>
      </c>
      <c r="AI36" s="65">
        <f t="shared" si="23"/>
        <v>0</v>
      </c>
      <c r="AJ36" s="67">
        <f t="shared" si="23"/>
        <v>0</v>
      </c>
      <c r="AK36" s="109">
        <v>200</v>
      </c>
    </row>
    <row r="37" spans="1:37" x14ac:dyDescent="0.35">
      <c r="A37" s="44" t="s">
        <v>20</v>
      </c>
      <c r="B37" s="45" t="s">
        <v>18</v>
      </c>
      <c r="C37" s="46" t="s">
        <v>15</v>
      </c>
      <c r="D37" s="71">
        <v>360</v>
      </c>
      <c r="E37" s="66">
        <v>200</v>
      </c>
      <c r="F37" s="63">
        <v>1360</v>
      </c>
      <c r="G37" s="80">
        <f t="shared" si="22"/>
        <v>612.47637051039692</v>
      </c>
      <c r="H37" s="125">
        <f t="shared" si="7"/>
        <v>434.78260869565213</v>
      </c>
      <c r="I37" s="163">
        <f t="shared" si="8"/>
        <v>2266.666666666667</v>
      </c>
      <c r="J37" s="61">
        <f t="shared" si="9"/>
        <v>306.23818525519846</v>
      </c>
      <c r="K37" s="66">
        <f t="shared" si="10"/>
        <v>144.92753623188403</v>
      </c>
      <c r="L37" s="63">
        <f t="shared" si="11"/>
        <v>348.71794871794879</v>
      </c>
      <c r="M37" s="61">
        <f t="shared" si="12"/>
        <v>153.11909262759923</v>
      </c>
      <c r="N37" s="76">
        <f t="shared" si="13"/>
        <v>144.92753623188403</v>
      </c>
      <c r="O37" s="75">
        <f t="shared" si="14"/>
        <v>697.43589743589757</v>
      </c>
      <c r="P37" s="61">
        <f t="shared" si="15"/>
        <v>153.11909262759923</v>
      </c>
      <c r="Q37" s="76">
        <f t="shared" si="16"/>
        <v>144.92753623188403</v>
      </c>
      <c r="R37" s="75">
        <f t="shared" si="17"/>
        <v>697.43589743589757</v>
      </c>
      <c r="S37" s="61">
        <f t="shared" si="18"/>
        <v>0</v>
      </c>
      <c r="T37" s="76">
        <f t="shared" si="19"/>
        <v>0</v>
      </c>
      <c r="U37" s="75">
        <f t="shared" si="20"/>
        <v>523.07692307692309</v>
      </c>
      <c r="W37" s="80">
        <f>Z37+AC37+AF37+AI37</f>
        <v>700</v>
      </c>
      <c r="X37" s="80">
        <f t="shared" si="21"/>
        <v>600</v>
      </c>
      <c r="Y37" s="80">
        <f t="shared" si="21"/>
        <v>2700</v>
      </c>
      <c r="Z37" s="98">
        <v>300</v>
      </c>
      <c r="AA37" s="99">
        <v>200</v>
      </c>
      <c r="AB37" s="100">
        <v>400</v>
      </c>
      <c r="AC37" s="101">
        <v>200</v>
      </c>
      <c r="AD37" s="139">
        <v>200</v>
      </c>
      <c r="AE37" s="142">
        <v>900</v>
      </c>
      <c r="AF37" s="101">
        <v>200</v>
      </c>
      <c r="AG37" s="139">
        <v>200</v>
      </c>
      <c r="AH37" s="142">
        <v>900</v>
      </c>
      <c r="AI37" s="101">
        <f t="shared" si="23"/>
        <v>0</v>
      </c>
      <c r="AJ37" s="99">
        <f t="shared" si="23"/>
        <v>0</v>
      </c>
      <c r="AK37" s="145">
        <v>500</v>
      </c>
    </row>
    <row r="38" spans="1:37" x14ac:dyDescent="0.35">
      <c r="A38" s="44" t="s">
        <v>20</v>
      </c>
      <c r="B38" s="45" t="s">
        <v>18</v>
      </c>
      <c r="C38" s="46" t="s">
        <v>64</v>
      </c>
      <c r="D38" s="61">
        <v>360</v>
      </c>
      <c r="E38" s="66">
        <v>200</v>
      </c>
      <c r="F38" s="63">
        <v>680</v>
      </c>
      <c r="G38" s="80">
        <f t="shared" si="22"/>
        <v>612.47637051039692</v>
      </c>
      <c r="H38" s="125">
        <f t="shared" si="7"/>
        <v>434.78260869565213</v>
      </c>
      <c r="I38" s="163">
        <f t="shared" si="8"/>
        <v>1133.3333333333335</v>
      </c>
      <c r="J38" s="61">
        <f t="shared" si="9"/>
        <v>306.23818525519846</v>
      </c>
      <c r="K38" s="66">
        <f t="shared" si="10"/>
        <v>144.92753623188403</v>
      </c>
      <c r="L38" s="63">
        <f t="shared" si="11"/>
        <v>174.35897435897439</v>
      </c>
      <c r="M38" s="61">
        <f t="shared" si="12"/>
        <v>153.11909262759923</v>
      </c>
      <c r="N38" s="76">
        <f t="shared" si="13"/>
        <v>144.92753623188403</v>
      </c>
      <c r="O38" s="75">
        <f t="shared" si="14"/>
        <v>348.71794871794879</v>
      </c>
      <c r="P38" s="61">
        <f t="shared" si="15"/>
        <v>153.11909262759923</v>
      </c>
      <c r="Q38" s="76">
        <f t="shared" si="16"/>
        <v>144.92753623188403</v>
      </c>
      <c r="R38" s="75">
        <f t="shared" si="17"/>
        <v>348.71794871794879</v>
      </c>
      <c r="S38" s="61">
        <f t="shared" si="18"/>
        <v>0</v>
      </c>
      <c r="T38" s="76">
        <f t="shared" si="19"/>
        <v>0</v>
      </c>
      <c r="U38" s="75">
        <f t="shared" si="20"/>
        <v>261.53846153846155</v>
      </c>
      <c r="W38" s="80">
        <f t="shared" si="21"/>
        <v>700</v>
      </c>
      <c r="X38" s="80">
        <f t="shared" si="21"/>
        <v>600</v>
      </c>
      <c r="Y38" s="80">
        <f t="shared" si="21"/>
        <v>1300</v>
      </c>
      <c r="Z38" s="103">
        <v>300</v>
      </c>
      <c r="AA38" s="67">
        <v>200</v>
      </c>
      <c r="AB38" s="64">
        <v>200</v>
      </c>
      <c r="AC38" s="65">
        <v>200</v>
      </c>
      <c r="AD38" s="140">
        <v>200</v>
      </c>
      <c r="AE38" s="64">
        <v>400</v>
      </c>
      <c r="AF38" s="65">
        <v>200</v>
      </c>
      <c r="AG38" s="140">
        <v>200</v>
      </c>
      <c r="AH38" s="64">
        <v>400</v>
      </c>
      <c r="AI38" s="65">
        <f t="shared" si="23"/>
        <v>0</v>
      </c>
      <c r="AJ38" s="67">
        <f t="shared" si="23"/>
        <v>0</v>
      </c>
      <c r="AK38" s="146">
        <v>300</v>
      </c>
    </row>
    <row r="39" spans="1:37" ht="18.600000000000001" thickBot="1" x14ac:dyDescent="0.4">
      <c r="A39" s="47" t="s">
        <v>20</v>
      </c>
      <c r="B39" s="48" t="s">
        <v>18</v>
      </c>
      <c r="C39" s="49" t="s">
        <v>17</v>
      </c>
      <c r="D39" s="68">
        <v>360</v>
      </c>
      <c r="E39" s="69">
        <v>200</v>
      </c>
      <c r="F39" s="70">
        <v>360</v>
      </c>
      <c r="G39" s="126">
        <f t="shared" si="22"/>
        <v>612.47637051039692</v>
      </c>
      <c r="H39" s="127">
        <f t="shared" si="7"/>
        <v>434.78260869565213</v>
      </c>
      <c r="I39" s="163">
        <f t="shared" si="8"/>
        <v>600</v>
      </c>
      <c r="J39" s="68">
        <f t="shared" si="9"/>
        <v>306.23818525519846</v>
      </c>
      <c r="K39" s="69">
        <f t="shared" si="10"/>
        <v>144.92753623188403</v>
      </c>
      <c r="L39" s="70">
        <f t="shared" si="11"/>
        <v>92.307692307692307</v>
      </c>
      <c r="M39" s="68">
        <f t="shared" si="12"/>
        <v>153.11909262759923</v>
      </c>
      <c r="N39" s="78">
        <f t="shared" si="13"/>
        <v>144.92753623188403</v>
      </c>
      <c r="O39" s="79">
        <f t="shared" si="14"/>
        <v>184.61538461538461</v>
      </c>
      <c r="P39" s="68">
        <f t="shared" si="15"/>
        <v>153.11909262759923</v>
      </c>
      <c r="Q39" s="78">
        <f t="shared" si="16"/>
        <v>144.92753623188403</v>
      </c>
      <c r="R39" s="79">
        <f t="shared" si="17"/>
        <v>184.61538461538461</v>
      </c>
      <c r="S39" s="68">
        <f t="shared" si="18"/>
        <v>0</v>
      </c>
      <c r="T39" s="78">
        <f t="shared" si="19"/>
        <v>0</v>
      </c>
      <c r="U39" s="79">
        <f t="shared" si="20"/>
        <v>138.46153846153845</v>
      </c>
      <c r="W39" s="80">
        <f t="shared" si="21"/>
        <v>700</v>
      </c>
      <c r="X39" s="80">
        <f t="shared" si="21"/>
        <v>600</v>
      </c>
      <c r="Y39" s="80">
        <f t="shared" si="21"/>
        <v>700</v>
      </c>
      <c r="Z39" s="105">
        <v>300</v>
      </c>
      <c r="AA39" s="106">
        <v>200</v>
      </c>
      <c r="AB39" s="107">
        <v>100</v>
      </c>
      <c r="AC39" s="108">
        <v>200</v>
      </c>
      <c r="AD39" s="141">
        <v>200</v>
      </c>
      <c r="AE39" s="107">
        <v>200</v>
      </c>
      <c r="AF39" s="108">
        <v>200</v>
      </c>
      <c r="AG39" s="141">
        <v>200</v>
      </c>
      <c r="AH39" s="107">
        <v>200</v>
      </c>
      <c r="AI39" s="108">
        <f t="shared" si="23"/>
        <v>0</v>
      </c>
      <c r="AJ39" s="106">
        <f t="shared" si="23"/>
        <v>0</v>
      </c>
      <c r="AK39" s="109">
        <v>200</v>
      </c>
    </row>
    <row r="40" spans="1:37" x14ac:dyDescent="0.35">
      <c r="L40" s="51"/>
    </row>
  </sheetData>
  <mergeCells count="21">
    <mergeCell ref="D4:F4"/>
    <mergeCell ref="G4:I4"/>
    <mergeCell ref="D1:I1"/>
    <mergeCell ref="J1:L1"/>
    <mergeCell ref="M1:O1"/>
    <mergeCell ref="G3:I3"/>
    <mergeCell ref="J3:L3"/>
    <mergeCell ref="M3:O3"/>
    <mergeCell ref="D2:I2"/>
    <mergeCell ref="J2:L2"/>
    <mergeCell ref="M2:O2"/>
    <mergeCell ref="P1:R1"/>
    <mergeCell ref="S1:U1"/>
    <mergeCell ref="Z11:AB11"/>
    <mergeCell ref="AC11:AE11"/>
    <mergeCell ref="AF11:AH11"/>
    <mergeCell ref="AI11:AK11"/>
    <mergeCell ref="P3:R3"/>
    <mergeCell ref="S3:U3"/>
    <mergeCell ref="P2:R2"/>
    <mergeCell ref="S2:U2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1A0D-72B3-45A4-A5E3-73DCE32F60E5}">
  <sheetPr>
    <tabColor rgb="FFCCFFCC"/>
  </sheetPr>
  <dimension ref="A1:AK40"/>
  <sheetViews>
    <sheetView zoomScale="70" zoomScaleNormal="70" workbookViewId="0">
      <selection activeCell="K23" sqref="K23"/>
    </sheetView>
  </sheetViews>
  <sheetFormatPr defaultRowHeight="18" x14ac:dyDescent="0.35"/>
  <cols>
    <col min="1" max="1" width="6.109375" style="3" customWidth="1"/>
    <col min="2" max="2" width="7.5546875" style="3" customWidth="1"/>
    <col min="3" max="3" width="5.88671875" style="3" customWidth="1"/>
    <col min="4" max="4" width="6.77734375" style="3" customWidth="1"/>
    <col min="5" max="5" width="6.5546875" style="3" customWidth="1"/>
    <col min="6" max="6" width="7.21875" style="3" customWidth="1"/>
    <col min="7" max="7" width="6" style="3" bestFit="1" customWidth="1"/>
    <col min="8" max="8" width="7" style="3" bestFit="1" customWidth="1"/>
    <col min="9" max="10" width="6" style="3" bestFit="1" customWidth="1"/>
    <col min="11" max="11" width="7" style="3" bestFit="1" customWidth="1"/>
    <col min="12" max="13" width="6" style="3" bestFit="1" customWidth="1"/>
    <col min="14" max="14" width="7" style="3" bestFit="1" customWidth="1"/>
    <col min="15" max="16" width="6" style="3" bestFit="1" customWidth="1"/>
    <col min="17" max="17" width="7" style="3" bestFit="1" customWidth="1"/>
    <col min="18" max="19" width="6" style="3" bestFit="1" customWidth="1"/>
    <col min="20" max="20" width="7" style="3" bestFit="1" customWidth="1"/>
    <col min="21" max="21" width="6" style="3" bestFit="1" customWidth="1"/>
    <col min="22" max="16384" width="8.88671875" style="3"/>
  </cols>
  <sheetData>
    <row r="1" spans="1:37" ht="15" customHeight="1" x14ac:dyDescent="0.35">
      <c r="A1" s="1" t="s">
        <v>0</v>
      </c>
      <c r="B1" s="1" t="s">
        <v>2</v>
      </c>
      <c r="C1" s="2" t="s">
        <v>4</v>
      </c>
      <c r="D1" s="153" t="s">
        <v>5</v>
      </c>
      <c r="E1" s="153"/>
      <c r="F1" s="153"/>
      <c r="G1" s="153"/>
      <c r="H1" s="153"/>
      <c r="I1" s="154"/>
      <c r="J1" s="152" t="s">
        <v>21</v>
      </c>
      <c r="K1" s="153"/>
      <c r="L1" s="154"/>
      <c r="M1" s="152" t="s">
        <v>24</v>
      </c>
      <c r="N1" s="153"/>
      <c r="O1" s="154"/>
      <c r="P1" s="152" t="s">
        <v>26</v>
      </c>
      <c r="Q1" s="153"/>
      <c r="R1" s="154"/>
      <c r="S1" s="152" t="s">
        <v>28</v>
      </c>
      <c r="T1" s="153"/>
      <c r="U1" s="154"/>
    </row>
    <row r="2" spans="1:37" ht="18.600000000000001" thickBot="1" x14ac:dyDescent="0.4">
      <c r="A2" s="4" t="s">
        <v>1</v>
      </c>
      <c r="B2" s="4" t="s">
        <v>3</v>
      </c>
      <c r="C2" s="5" t="s">
        <v>3</v>
      </c>
      <c r="D2" s="159" t="s">
        <v>6</v>
      </c>
      <c r="E2" s="159"/>
      <c r="F2" s="159"/>
      <c r="G2" s="159"/>
      <c r="H2" s="159"/>
      <c r="I2" s="160"/>
      <c r="J2" s="158" t="s">
        <v>22</v>
      </c>
      <c r="K2" s="159"/>
      <c r="L2" s="160"/>
      <c r="M2" s="158" t="s">
        <v>25</v>
      </c>
      <c r="N2" s="159"/>
      <c r="O2" s="160"/>
      <c r="P2" s="158" t="s">
        <v>27</v>
      </c>
      <c r="Q2" s="159"/>
      <c r="R2" s="160"/>
      <c r="S2" s="158" t="s">
        <v>29</v>
      </c>
      <c r="T2" s="159"/>
      <c r="U2" s="160"/>
    </row>
    <row r="3" spans="1:37" ht="18.600000000000001" thickBot="1" x14ac:dyDescent="0.4">
      <c r="A3" s="6"/>
      <c r="B3" s="6"/>
      <c r="C3" s="7"/>
      <c r="D3" s="8" t="s">
        <v>30</v>
      </c>
      <c r="E3" s="9"/>
      <c r="F3" s="10"/>
      <c r="G3" s="155" t="s">
        <v>32</v>
      </c>
      <c r="H3" s="156"/>
      <c r="I3" s="157"/>
      <c r="J3" s="158" t="s">
        <v>23</v>
      </c>
      <c r="K3" s="159"/>
      <c r="L3" s="160"/>
      <c r="M3" s="158" t="s">
        <v>23</v>
      </c>
      <c r="N3" s="159"/>
      <c r="O3" s="160"/>
      <c r="P3" s="158" t="s">
        <v>23</v>
      </c>
      <c r="Q3" s="159"/>
      <c r="R3" s="160"/>
      <c r="S3" s="158" t="s">
        <v>23</v>
      </c>
      <c r="T3" s="159"/>
      <c r="U3" s="160"/>
    </row>
    <row r="4" spans="1:37" ht="18.600000000000001" thickBot="1" x14ac:dyDescent="0.4">
      <c r="A4" s="6"/>
      <c r="B4" s="6"/>
      <c r="C4" s="7"/>
      <c r="D4" s="155" t="s">
        <v>31</v>
      </c>
      <c r="E4" s="156"/>
      <c r="F4" s="157"/>
      <c r="G4" s="155" t="s">
        <v>31</v>
      </c>
      <c r="H4" s="156"/>
      <c r="I4" s="157"/>
      <c r="J4" s="4"/>
      <c r="K4" s="11"/>
      <c r="L4" s="12"/>
      <c r="M4" s="4"/>
      <c r="N4" s="11"/>
      <c r="O4" s="12"/>
      <c r="P4" s="4"/>
      <c r="Q4" s="11"/>
      <c r="R4" s="12"/>
      <c r="S4" s="4"/>
      <c r="T4" s="11"/>
      <c r="U4" s="12"/>
    </row>
    <row r="5" spans="1:37" ht="18.600000000000001" thickBot="1" x14ac:dyDescent="0.4">
      <c r="A5" s="13"/>
      <c r="B5" s="13"/>
      <c r="C5" s="14"/>
      <c r="D5" s="15" t="s">
        <v>7</v>
      </c>
      <c r="E5" s="15" t="s">
        <v>8</v>
      </c>
      <c r="F5" s="15" t="s">
        <v>9</v>
      </c>
      <c r="G5" s="16" t="s">
        <v>10</v>
      </c>
      <c r="H5" s="15" t="s">
        <v>11</v>
      </c>
      <c r="I5" s="162" t="s">
        <v>47</v>
      </c>
      <c r="J5" s="18" t="s">
        <v>10</v>
      </c>
      <c r="K5" s="15" t="s">
        <v>11</v>
      </c>
      <c r="L5" s="19" t="s">
        <v>12</v>
      </c>
      <c r="M5" s="18" t="s">
        <v>10</v>
      </c>
      <c r="N5" s="15" t="s">
        <v>11</v>
      </c>
      <c r="O5" s="19" t="s">
        <v>12</v>
      </c>
      <c r="P5" s="18" t="s">
        <v>10</v>
      </c>
      <c r="Q5" s="15" t="s">
        <v>11</v>
      </c>
      <c r="R5" s="19" t="s">
        <v>12</v>
      </c>
      <c r="S5" s="18" t="s">
        <v>10</v>
      </c>
      <c r="T5" s="15" t="s">
        <v>11</v>
      </c>
      <c r="U5" s="19" t="s">
        <v>12</v>
      </c>
    </row>
    <row r="6" spans="1:37" ht="18.600000000000001" thickBot="1" x14ac:dyDescent="0.4">
      <c r="A6" s="13"/>
      <c r="B6" s="13" t="s">
        <v>33</v>
      </c>
      <c r="C6" s="50"/>
      <c r="D6" s="52">
        <v>60</v>
      </c>
      <c r="E6" s="52">
        <v>40</v>
      </c>
      <c r="F6" s="52">
        <v>40</v>
      </c>
      <c r="G6" s="53"/>
      <c r="H6" s="60">
        <f>0.15*400</f>
        <v>60</v>
      </c>
      <c r="I6" s="17"/>
      <c r="J6" s="18">
        <v>250</v>
      </c>
      <c r="K6" s="52">
        <v>150</v>
      </c>
      <c r="L6" s="19">
        <v>150</v>
      </c>
      <c r="M6" s="18">
        <v>120</v>
      </c>
      <c r="N6" s="52">
        <v>120</v>
      </c>
      <c r="O6" s="19">
        <v>240</v>
      </c>
      <c r="P6" s="18">
        <v>160</v>
      </c>
      <c r="Q6" s="52">
        <v>80</v>
      </c>
      <c r="R6" s="19">
        <v>240</v>
      </c>
      <c r="S6" s="18">
        <v>0</v>
      </c>
      <c r="T6" s="52">
        <v>0</v>
      </c>
      <c r="U6" s="19">
        <v>120</v>
      </c>
    </row>
    <row r="7" spans="1:37" ht="18.600000000000001" thickBot="1" x14ac:dyDescent="0.4">
      <c r="A7" s="13"/>
      <c r="B7" s="13"/>
      <c r="C7" s="50"/>
      <c r="D7" s="55">
        <f>SUM(J7,M7,P7,S7)</f>
        <v>2.6500000000000004</v>
      </c>
      <c r="E7" s="55">
        <f>SUM(K7,N7,Q7,T7)</f>
        <v>1.75</v>
      </c>
      <c r="F7" s="55">
        <f>SUM(L7,O7,R7,U7)</f>
        <v>3.75</v>
      </c>
      <c r="G7" s="54"/>
      <c r="H7" s="55"/>
      <c r="I7" s="56"/>
      <c r="J7" s="82">
        <f>J6/200</f>
        <v>1.25</v>
      </c>
      <c r="K7" s="83">
        <f t="shared" ref="K7:U7" si="0">K6/200</f>
        <v>0.75</v>
      </c>
      <c r="L7" s="84">
        <f t="shared" si="0"/>
        <v>0.75</v>
      </c>
      <c r="M7" s="82">
        <f t="shared" si="0"/>
        <v>0.6</v>
      </c>
      <c r="N7" s="83">
        <f t="shared" si="0"/>
        <v>0.6</v>
      </c>
      <c r="O7" s="84">
        <f t="shared" si="0"/>
        <v>1.2</v>
      </c>
      <c r="P7" s="82">
        <f t="shared" si="0"/>
        <v>0.8</v>
      </c>
      <c r="Q7" s="83">
        <f t="shared" si="0"/>
        <v>0.4</v>
      </c>
      <c r="R7" s="84">
        <f t="shared" si="0"/>
        <v>1.2</v>
      </c>
      <c r="S7" s="82">
        <f t="shared" si="0"/>
        <v>0</v>
      </c>
      <c r="T7" s="83">
        <f t="shared" si="0"/>
        <v>0</v>
      </c>
      <c r="U7" s="84">
        <f t="shared" si="0"/>
        <v>0.6</v>
      </c>
    </row>
    <row r="8" spans="1:37" ht="18.600000000000001" thickBot="1" x14ac:dyDescent="0.4">
      <c r="A8" s="13"/>
      <c r="B8" s="13"/>
      <c r="C8" s="50"/>
      <c r="D8" s="55">
        <f>SUM(J8,M8,P8,S8)</f>
        <v>4</v>
      </c>
      <c r="E8" s="52">
        <f t="shared" ref="E8:F8" si="1">SUM(K8,N8,Q8,T8)</f>
        <v>3</v>
      </c>
      <c r="F8" s="52">
        <f t="shared" si="1"/>
        <v>7</v>
      </c>
      <c r="G8" s="54"/>
      <c r="H8" s="55"/>
      <c r="I8" s="56"/>
      <c r="J8" s="57">
        <v>2</v>
      </c>
      <c r="K8" s="55">
        <v>1</v>
      </c>
      <c r="L8" s="58">
        <v>2</v>
      </c>
      <c r="M8" s="57">
        <v>1</v>
      </c>
      <c r="N8" s="55">
        <v>1</v>
      </c>
      <c r="O8" s="58">
        <v>2</v>
      </c>
      <c r="P8" s="57">
        <v>1</v>
      </c>
      <c r="Q8" s="55">
        <v>1</v>
      </c>
      <c r="R8" s="58">
        <v>2</v>
      </c>
      <c r="S8" s="57">
        <v>0</v>
      </c>
      <c r="T8" s="55">
        <v>0</v>
      </c>
      <c r="U8" s="58">
        <v>1</v>
      </c>
    </row>
    <row r="9" spans="1:37" ht="18.600000000000001" thickBot="1" x14ac:dyDescent="0.4">
      <c r="A9" s="13"/>
      <c r="B9" s="13" t="s">
        <v>34</v>
      </c>
      <c r="C9" s="50"/>
      <c r="D9" s="52">
        <v>120</v>
      </c>
      <c r="E9" s="52">
        <v>60</v>
      </c>
      <c r="F9" s="52">
        <v>60</v>
      </c>
      <c r="G9" s="59">
        <f>0.2*500</f>
        <v>100</v>
      </c>
      <c r="H9" s="60">
        <f>0.1*500</f>
        <v>50</v>
      </c>
      <c r="I9" s="17"/>
      <c r="J9" s="18">
        <v>250</v>
      </c>
      <c r="K9" s="52">
        <v>200</v>
      </c>
      <c r="L9" s="19">
        <v>250</v>
      </c>
      <c r="M9" s="18">
        <v>120</v>
      </c>
      <c r="N9" s="52">
        <v>240</v>
      </c>
      <c r="O9" s="19">
        <v>240</v>
      </c>
      <c r="P9" s="18">
        <v>250</v>
      </c>
      <c r="Q9" s="52">
        <v>125</v>
      </c>
      <c r="R9" s="19">
        <v>250</v>
      </c>
      <c r="S9" s="18">
        <v>0</v>
      </c>
      <c r="T9" s="52">
        <v>0</v>
      </c>
      <c r="U9" s="19">
        <v>240</v>
      </c>
    </row>
    <row r="10" spans="1:37" ht="18.600000000000001" thickBot="1" x14ac:dyDescent="0.4">
      <c r="A10" s="13"/>
      <c r="B10" s="13"/>
      <c r="C10" s="50"/>
      <c r="D10" s="55">
        <f>SUM(J10,M10,P10,S10)</f>
        <v>3.1</v>
      </c>
      <c r="E10" s="55">
        <f>SUM(K10,N10,Q10,T10)</f>
        <v>2.8250000000000002</v>
      </c>
      <c r="F10" s="55">
        <f>SUM(L10,O10,R10,U10)</f>
        <v>4.9000000000000004</v>
      </c>
      <c r="G10" s="86">
        <f>AVERAGE(D8,D11)</f>
        <v>4.5</v>
      </c>
      <c r="H10" s="86">
        <f>AVERAGE(E8,E11)</f>
        <v>3.5</v>
      </c>
      <c r="I10" s="87">
        <f>AVERAGE(F8,F11)</f>
        <v>7.5</v>
      </c>
      <c r="J10" s="82">
        <f t="shared" ref="J10:U10" si="2">J9/200</f>
        <v>1.25</v>
      </c>
      <c r="K10" s="83">
        <f t="shared" si="2"/>
        <v>1</v>
      </c>
      <c r="L10" s="84">
        <f t="shared" si="2"/>
        <v>1.25</v>
      </c>
      <c r="M10" s="82">
        <f t="shared" si="2"/>
        <v>0.6</v>
      </c>
      <c r="N10" s="83">
        <f t="shared" si="2"/>
        <v>1.2</v>
      </c>
      <c r="O10" s="84">
        <f t="shared" si="2"/>
        <v>1.2</v>
      </c>
      <c r="P10" s="82">
        <f>P9/200</f>
        <v>1.25</v>
      </c>
      <c r="Q10" s="83">
        <f t="shared" si="2"/>
        <v>0.625</v>
      </c>
      <c r="R10" s="84">
        <f t="shared" si="2"/>
        <v>1.25</v>
      </c>
      <c r="S10" s="82">
        <f t="shared" si="2"/>
        <v>0</v>
      </c>
      <c r="T10" s="83">
        <f t="shared" si="2"/>
        <v>0</v>
      </c>
      <c r="U10" s="84">
        <f t="shared" si="2"/>
        <v>1.2</v>
      </c>
    </row>
    <row r="11" spans="1:37" ht="18.600000000000001" thickBot="1" x14ac:dyDescent="0.4">
      <c r="A11" s="13"/>
      <c r="B11" s="13"/>
      <c r="C11" s="50"/>
      <c r="D11" s="55">
        <f>SUM(J11,M11,P11,S11)</f>
        <v>5</v>
      </c>
      <c r="E11" s="52">
        <f t="shared" ref="E11:F11" si="3">SUM(K11,N11,Q11,T11)</f>
        <v>4</v>
      </c>
      <c r="F11" s="52">
        <f t="shared" si="3"/>
        <v>8</v>
      </c>
      <c r="G11" s="54"/>
      <c r="H11" s="55"/>
      <c r="I11" s="56"/>
      <c r="J11" s="57">
        <v>2</v>
      </c>
      <c r="K11" s="55">
        <v>1</v>
      </c>
      <c r="L11" s="58">
        <v>2</v>
      </c>
      <c r="M11" s="57">
        <v>1</v>
      </c>
      <c r="N11" s="55">
        <v>2</v>
      </c>
      <c r="O11" s="58">
        <v>2</v>
      </c>
      <c r="P11" s="57">
        <v>2</v>
      </c>
      <c r="Q11" s="55">
        <v>1</v>
      </c>
      <c r="R11" s="58">
        <v>2</v>
      </c>
      <c r="S11" s="57">
        <v>0</v>
      </c>
      <c r="T11" s="55">
        <v>0</v>
      </c>
      <c r="U11" s="58">
        <v>2</v>
      </c>
      <c r="W11" s="24" t="s">
        <v>61</v>
      </c>
      <c r="Z11" s="152" t="s">
        <v>36</v>
      </c>
      <c r="AA11" s="153"/>
      <c r="AB11" s="154"/>
      <c r="AC11" s="152" t="s">
        <v>37</v>
      </c>
      <c r="AD11" s="153"/>
      <c r="AE11" s="154"/>
      <c r="AF11" s="152" t="s">
        <v>39</v>
      </c>
      <c r="AG11" s="153"/>
      <c r="AH11" s="154"/>
      <c r="AI11" s="152" t="s">
        <v>38</v>
      </c>
      <c r="AJ11" s="153"/>
      <c r="AK11" s="154"/>
    </row>
    <row r="12" spans="1:37" ht="18.600000000000001" thickBot="1" x14ac:dyDescent="0.4">
      <c r="A12" s="20"/>
      <c r="B12" s="88" t="s">
        <v>35</v>
      </c>
      <c r="C12" s="81"/>
      <c r="D12" s="81"/>
      <c r="E12" s="81"/>
      <c r="F12" s="81"/>
      <c r="G12" s="86">
        <f>SUM(J12,M12,P12,S12)</f>
        <v>4</v>
      </c>
      <c r="H12" s="86">
        <f>SUM(K12,N12,Q12,T12)</f>
        <v>3</v>
      </c>
      <c r="I12" s="87">
        <f>SUM(L12,O12,R12,U12)</f>
        <v>6.5</v>
      </c>
      <c r="J12" s="97">
        <f>AVERAGE(J8,J11)</f>
        <v>2</v>
      </c>
      <c r="K12" s="89">
        <f>AVERAGE(K8,K11)</f>
        <v>1</v>
      </c>
      <c r="L12" s="112">
        <v>1</v>
      </c>
      <c r="M12" s="91">
        <f>AVERAGE(M8,M11)</f>
        <v>1</v>
      </c>
      <c r="N12" s="113">
        <v>1</v>
      </c>
      <c r="O12" s="92">
        <f>AVERAGE(O8,O11)</f>
        <v>2</v>
      </c>
      <c r="P12" s="129">
        <v>1</v>
      </c>
      <c r="Q12" s="86">
        <f>AVERAGE(Q8,Q11)</f>
        <v>1</v>
      </c>
      <c r="R12" s="87">
        <f>AVERAGE(R8,R11)</f>
        <v>2</v>
      </c>
      <c r="S12" s="94">
        <f t="shared" ref="S12:U12" si="4">AVERAGE(S8,S11)</f>
        <v>0</v>
      </c>
      <c r="T12" s="95">
        <f t="shared" si="4"/>
        <v>0</v>
      </c>
      <c r="U12" s="96">
        <f t="shared" si="4"/>
        <v>1.5</v>
      </c>
      <c r="Z12" s="110" t="s">
        <v>10</v>
      </c>
      <c r="AA12" s="110" t="s">
        <v>11</v>
      </c>
      <c r="AB12" s="110" t="s">
        <v>12</v>
      </c>
      <c r="AC12" s="110" t="s">
        <v>10</v>
      </c>
      <c r="AD12" s="110" t="s">
        <v>11</v>
      </c>
      <c r="AE12" s="110" t="s">
        <v>12</v>
      </c>
      <c r="AF12" s="110" t="s">
        <v>10</v>
      </c>
      <c r="AG12" s="110" t="s">
        <v>11</v>
      </c>
      <c r="AH12" s="110" t="s">
        <v>12</v>
      </c>
      <c r="AI12" s="110" t="s">
        <v>10</v>
      </c>
      <c r="AJ12" s="110" t="s">
        <v>11</v>
      </c>
      <c r="AK12" s="110" t="s">
        <v>12</v>
      </c>
    </row>
    <row r="13" spans="1:37" x14ac:dyDescent="0.35">
      <c r="A13" s="21" t="s">
        <v>13</v>
      </c>
      <c r="B13" s="22" t="s">
        <v>14</v>
      </c>
      <c r="C13" s="21" t="s">
        <v>15</v>
      </c>
      <c r="D13" s="61">
        <v>1120</v>
      </c>
      <c r="E13" s="62">
        <v>560</v>
      </c>
      <c r="F13" s="63">
        <v>1120</v>
      </c>
      <c r="G13" s="80">
        <f>(D13-(H13*(18/100)))*(100/46)</f>
        <v>1958.4120982986767</v>
      </c>
      <c r="H13" s="123">
        <f>E13*(100/46)</f>
        <v>1217.391304347826</v>
      </c>
      <c r="I13" s="163">
        <f>F13*(100/60)</f>
        <v>1866.6666666666667</v>
      </c>
      <c r="J13" s="61">
        <f>(G13*$J$12)/$G$12</f>
        <v>979.20604914933836</v>
      </c>
      <c r="K13" s="62">
        <f>(H13*$K$12)/$H$12</f>
        <v>405.79710144927532</v>
      </c>
      <c r="L13" s="63">
        <f>(I13*$L$12)/$I$12</f>
        <v>287.17948717948718</v>
      </c>
      <c r="M13" s="61">
        <f>(G13*$M$12)/$G$12</f>
        <v>489.60302457466918</v>
      </c>
      <c r="N13" s="74">
        <f>(H13*$N$12)/$H$12</f>
        <v>405.79710144927532</v>
      </c>
      <c r="O13" s="75">
        <f>(I13*$O$12)/$I$12</f>
        <v>574.35897435897436</v>
      </c>
      <c r="P13" s="61">
        <f>(G13*$P$12)/$G$12</f>
        <v>489.60302457466918</v>
      </c>
      <c r="Q13" s="74">
        <f>(H13*$Q$12)/$H$12</f>
        <v>405.79710144927532</v>
      </c>
      <c r="R13" s="75">
        <f>(I13*$R$12)/$I$12</f>
        <v>574.35897435897436</v>
      </c>
      <c r="S13" s="61">
        <f>(G13*$S$12)/$G$12</f>
        <v>0</v>
      </c>
      <c r="T13" s="74">
        <f>(H13*$T$12)/$H$12</f>
        <v>0</v>
      </c>
      <c r="U13" s="75">
        <f>(I13*$U$12)/$I$12</f>
        <v>430.76923076923077</v>
      </c>
      <c r="W13" s="80">
        <f t="shared" ref="W13:Y16" si="5">Z13+AC13+AF13+AI13</f>
        <v>2000</v>
      </c>
      <c r="X13" s="80">
        <f t="shared" si="5"/>
        <v>1200</v>
      </c>
      <c r="Y13" s="80">
        <f t="shared" si="5"/>
        <v>2300</v>
      </c>
      <c r="Z13" s="98">
        <v>1000</v>
      </c>
      <c r="AA13" s="99">
        <v>400</v>
      </c>
      <c r="AB13" s="142">
        <v>400</v>
      </c>
      <c r="AC13" s="101">
        <v>500</v>
      </c>
      <c r="AD13" s="99">
        <v>400</v>
      </c>
      <c r="AE13" s="100">
        <v>700</v>
      </c>
      <c r="AF13" s="101">
        <v>500</v>
      </c>
      <c r="AG13" s="99">
        <v>400</v>
      </c>
      <c r="AH13" s="100">
        <v>700</v>
      </c>
      <c r="AI13" s="101">
        <v>0</v>
      </c>
      <c r="AJ13" s="99">
        <v>0</v>
      </c>
      <c r="AK13" s="102">
        <v>500</v>
      </c>
    </row>
    <row r="14" spans="1:37" x14ac:dyDescent="0.35">
      <c r="A14" s="23" t="s">
        <v>13</v>
      </c>
      <c r="B14" s="22" t="s">
        <v>14</v>
      </c>
      <c r="C14" s="23" t="s">
        <v>64</v>
      </c>
      <c r="D14" s="61">
        <v>1120</v>
      </c>
      <c r="E14" s="66">
        <v>560</v>
      </c>
      <c r="F14" s="63">
        <v>560</v>
      </c>
      <c r="G14" s="80">
        <f>(D14-(H14*(18/100)))*(100/46)</f>
        <v>1958.4120982986767</v>
      </c>
      <c r="H14" s="125">
        <f t="shared" ref="H14:H39" si="6">E14*(100/46)</f>
        <v>1217.391304347826</v>
      </c>
      <c r="I14" s="163">
        <f t="shared" ref="I14:I39" si="7">F14*(100/60)</f>
        <v>933.33333333333337</v>
      </c>
      <c r="J14" s="61">
        <f t="shared" ref="J14:J39" si="8">(G14*$J$12)/$G$12</f>
        <v>979.20604914933836</v>
      </c>
      <c r="K14" s="66">
        <f t="shared" ref="K14:K39" si="9">(H14*$K$12)/$H$12</f>
        <v>405.79710144927532</v>
      </c>
      <c r="L14" s="63">
        <f t="shared" ref="L14:L39" si="10">(I14*$L$12)/$I$12</f>
        <v>143.58974358974359</v>
      </c>
      <c r="M14" s="61">
        <f t="shared" ref="M14:M39" si="11">(G14*$M$12)/$G$12</f>
        <v>489.60302457466918</v>
      </c>
      <c r="N14" s="76">
        <f t="shared" ref="N14:N39" si="12">(H14*$N$12)/$H$12</f>
        <v>405.79710144927532</v>
      </c>
      <c r="O14" s="75">
        <f t="shared" ref="O14:O39" si="13">(I14*$O$12)/$I$12</f>
        <v>287.17948717948718</v>
      </c>
      <c r="P14" s="61">
        <f t="shared" ref="P14:P39" si="14">(G14*$P$12)/$G$12</f>
        <v>489.60302457466918</v>
      </c>
      <c r="Q14" s="76">
        <f t="shared" ref="Q14:Q39" si="15">(H14*$Q$12)/$H$12</f>
        <v>405.79710144927532</v>
      </c>
      <c r="R14" s="75">
        <f t="shared" ref="R14:R39" si="16">(I14*$R$12)/$I$12</f>
        <v>287.17948717948718</v>
      </c>
      <c r="S14" s="61">
        <f t="shared" ref="S14:S39" si="17">(G14*$S$12)/$G$12</f>
        <v>0</v>
      </c>
      <c r="T14" s="76">
        <f t="shared" ref="T14:T39" si="18">(H14*$T$12)/$H$12</f>
        <v>0</v>
      </c>
      <c r="U14" s="75">
        <f t="shared" ref="U14:U39" si="19">(I14*$U$12)/$I$12</f>
        <v>215.38461538461539</v>
      </c>
      <c r="W14" s="80">
        <f t="shared" si="5"/>
        <v>2000</v>
      </c>
      <c r="X14" s="80">
        <f t="shared" si="5"/>
        <v>1200</v>
      </c>
      <c r="Y14" s="80">
        <f t="shared" si="5"/>
        <v>1200</v>
      </c>
      <c r="Z14" s="103">
        <v>1000</v>
      </c>
      <c r="AA14" s="67">
        <v>400</v>
      </c>
      <c r="AB14" s="64">
        <v>200</v>
      </c>
      <c r="AC14" s="65">
        <v>500</v>
      </c>
      <c r="AD14" s="67">
        <v>400</v>
      </c>
      <c r="AE14" s="148">
        <v>400</v>
      </c>
      <c r="AF14" s="65">
        <v>500</v>
      </c>
      <c r="AG14" s="67">
        <v>400</v>
      </c>
      <c r="AH14" s="148">
        <v>400</v>
      </c>
      <c r="AI14" s="65">
        <v>0</v>
      </c>
      <c r="AJ14" s="67">
        <v>0</v>
      </c>
      <c r="AK14" s="146">
        <v>200</v>
      </c>
    </row>
    <row r="15" spans="1:37" s="24" customFormat="1" ht="18.600000000000001" thickBot="1" x14ac:dyDescent="0.4">
      <c r="A15" s="23" t="s">
        <v>13</v>
      </c>
      <c r="B15" s="22" t="s">
        <v>14</v>
      </c>
      <c r="C15" s="23" t="s">
        <v>17</v>
      </c>
      <c r="D15" s="68">
        <v>1120</v>
      </c>
      <c r="E15" s="69">
        <v>560</v>
      </c>
      <c r="F15" s="70">
        <v>280</v>
      </c>
      <c r="G15" s="80">
        <f>(D15-(H15*(18/100)))*(100/46)</f>
        <v>1958.4120982986767</v>
      </c>
      <c r="H15" s="125">
        <f t="shared" si="6"/>
        <v>1217.391304347826</v>
      </c>
      <c r="I15" s="163">
        <f t="shared" si="7"/>
        <v>466.66666666666669</v>
      </c>
      <c r="J15" s="61">
        <f t="shared" si="8"/>
        <v>979.20604914933836</v>
      </c>
      <c r="K15" s="66">
        <f t="shared" si="9"/>
        <v>405.79710144927532</v>
      </c>
      <c r="L15" s="63">
        <f t="shared" si="10"/>
        <v>71.794871794871796</v>
      </c>
      <c r="M15" s="61">
        <f t="shared" si="11"/>
        <v>489.60302457466918</v>
      </c>
      <c r="N15" s="76">
        <f t="shared" si="12"/>
        <v>405.79710144927532</v>
      </c>
      <c r="O15" s="75">
        <f t="shared" si="13"/>
        <v>143.58974358974359</v>
      </c>
      <c r="P15" s="61">
        <f t="shared" si="14"/>
        <v>489.60302457466918</v>
      </c>
      <c r="Q15" s="76">
        <f t="shared" si="15"/>
        <v>405.79710144927532</v>
      </c>
      <c r="R15" s="75">
        <f t="shared" si="16"/>
        <v>143.58974358974359</v>
      </c>
      <c r="S15" s="61">
        <f t="shared" si="17"/>
        <v>0</v>
      </c>
      <c r="T15" s="76">
        <f t="shared" si="18"/>
        <v>0</v>
      </c>
      <c r="U15" s="75">
        <f t="shared" si="19"/>
        <v>107.69230769230769</v>
      </c>
      <c r="W15" s="80">
        <f t="shared" si="5"/>
        <v>2000</v>
      </c>
      <c r="X15" s="80">
        <f t="shared" si="5"/>
        <v>1200</v>
      </c>
      <c r="Y15" s="80">
        <f t="shared" si="5"/>
        <v>600</v>
      </c>
      <c r="Z15" s="105">
        <v>1000</v>
      </c>
      <c r="AA15" s="106">
        <v>400</v>
      </c>
      <c r="AB15" s="107">
        <v>100</v>
      </c>
      <c r="AC15" s="108">
        <v>500</v>
      </c>
      <c r="AD15" s="106">
        <v>400</v>
      </c>
      <c r="AE15" s="107">
        <v>200</v>
      </c>
      <c r="AF15" s="108">
        <v>500</v>
      </c>
      <c r="AG15" s="106">
        <v>400</v>
      </c>
      <c r="AH15" s="107">
        <v>200</v>
      </c>
      <c r="AI15" s="108">
        <v>0</v>
      </c>
      <c r="AJ15" s="106">
        <v>0</v>
      </c>
      <c r="AK15" s="109">
        <v>100</v>
      </c>
    </row>
    <row r="16" spans="1:37" x14ac:dyDescent="0.35">
      <c r="A16" s="25" t="s">
        <v>13</v>
      </c>
      <c r="B16" s="26" t="s">
        <v>63</v>
      </c>
      <c r="C16" s="25" t="s">
        <v>15</v>
      </c>
      <c r="D16" s="71">
        <v>1120</v>
      </c>
      <c r="E16" s="62">
        <v>280</v>
      </c>
      <c r="F16" s="72">
        <v>1120</v>
      </c>
      <c r="G16" s="80">
        <f>(D16-(H16*(18/100)))*(100/46)</f>
        <v>2196.5973534971645</v>
      </c>
      <c r="H16" s="125">
        <f t="shared" si="6"/>
        <v>608.695652173913</v>
      </c>
      <c r="I16" s="163">
        <f t="shared" si="7"/>
        <v>1866.6666666666667</v>
      </c>
      <c r="J16" s="61">
        <f t="shared" si="8"/>
        <v>1098.2986767485822</v>
      </c>
      <c r="K16" s="66">
        <f t="shared" si="9"/>
        <v>202.89855072463766</v>
      </c>
      <c r="L16" s="63">
        <f t="shared" si="10"/>
        <v>287.17948717948718</v>
      </c>
      <c r="M16" s="61">
        <f t="shared" si="11"/>
        <v>549.14933837429112</v>
      </c>
      <c r="N16" s="76">
        <f t="shared" si="12"/>
        <v>202.89855072463766</v>
      </c>
      <c r="O16" s="75">
        <f t="shared" si="13"/>
        <v>574.35897435897436</v>
      </c>
      <c r="P16" s="61">
        <f t="shared" si="14"/>
        <v>549.14933837429112</v>
      </c>
      <c r="Q16" s="76">
        <f t="shared" si="15"/>
        <v>202.89855072463766</v>
      </c>
      <c r="R16" s="75">
        <f t="shared" si="16"/>
        <v>574.35897435897436</v>
      </c>
      <c r="S16" s="61">
        <f t="shared" si="17"/>
        <v>0</v>
      </c>
      <c r="T16" s="76">
        <f t="shared" si="18"/>
        <v>0</v>
      </c>
      <c r="U16" s="75">
        <f t="shared" si="19"/>
        <v>430.76923076923077</v>
      </c>
      <c r="W16" s="80">
        <f t="shared" si="5"/>
        <v>2200</v>
      </c>
      <c r="X16" s="80">
        <f t="shared" si="5"/>
        <v>600</v>
      </c>
      <c r="Y16" s="80">
        <f t="shared" si="5"/>
        <v>2300</v>
      </c>
      <c r="Z16" s="103">
        <v>1100</v>
      </c>
      <c r="AA16" s="67">
        <v>200</v>
      </c>
      <c r="AB16" s="142">
        <v>400</v>
      </c>
      <c r="AC16" s="65">
        <v>600</v>
      </c>
      <c r="AD16" s="67">
        <v>200</v>
      </c>
      <c r="AE16" s="100">
        <v>700</v>
      </c>
      <c r="AF16" s="65">
        <v>500</v>
      </c>
      <c r="AG16" s="67">
        <v>200</v>
      </c>
      <c r="AH16" s="100">
        <v>700</v>
      </c>
      <c r="AI16" s="65">
        <v>0</v>
      </c>
      <c r="AJ16" s="67">
        <v>0</v>
      </c>
      <c r="AK16" s="102">
        <v>500</v>
      </c>
    </row>
    <row r="17" spans="1:37" x14ac:dyDescent="0.35">
      <c r="A17" s="25" t="s">
        <v>13</v>
      </c>
      <c r="B17" s="26" t="s">
        <v>63</v>
      </c>
      <c r="C17" s="25" t="s">
        <v>64</v>
      </c>
      <c r="D17" s="61">
        <v>1120</v>
      </c>
      <c r="E17" s="66">
        <v>280</v>
      </c>
      <c r="F17" s="63">
        <v>560</v>
      </c>
      <c r="G17" s="80">
        <f>(D17-(H17*(18/100)))*(100/46)</f>
        <v>2196.5973534971645</v>
      </c>
      <c r="H17" s="125">
        <f t="shared" si="6"/>
        <v>608.695652173913</v>
      </c>
      <c r="I17" s="163">
        <f t="shared" si="7"/>
        <v>933.33333333333337</v>
      </c>
      <c r="J17" s="61">
        <f t="shared" si="8"/>
        <v>1098.2986767485822</v>
      </c>
      <c r="K17" s="66">
        <f t="shared" si="9"/>
        <v>202.89855072463766</v>
      </c>
      <c r="L17" s="63">
        <f t="shared" si="10"/>
        <v>143.58974358974359</v>
      </c>
      <c r="M17" s="61">
        <f t="shared" si="11"/>
        <v>549.14933837429112</v>
      </c>
      <c r="N17" s="76">
        <f t="shared" si="12"/>
        <v>202.89855072463766</v>
      </c>
      <c r="O17" s="75">
        <f t="shared" si="13"/>
        <v>287.17948717948718</v>
      </c>
      <c r="P17" s="61">
        <f t="shared" si="14"/>
        <v>549.14933837429112</v>
      </c>
      <c r="Q17" s="76">
        <f t="shared" si="15"/>
        <v>202.89855072463766</v>
      </c>
      <c r="R17" s="75">
        <f t="shared" si="16"/>
        <v>287.17948717948718</v>
      </c>
      <c r="S17" s="61">
        <f t="shared" si="17"/>
        <v>0</v>
      </c>
      <c r="T17" s="76">
        <f t="shared" si="18"/>
        <v>0</v>
      </c>
      <c r="U17" s="75">
        <f t="shared" si="19"/>
        <v>215.38461538461539</v>
      </c>
      <c r="W17" s="80">
        <f t="shared" ref="W17:Y39" si="20">Z17+AC17+AF17+AI17</f>
        <v>2200</v>
      </c>
      <c r="X17" s="80">
        <f t="shared" si="20"/>
        <v>600</v>
      </c>
      <c r="Y17" s="80">
        <f t="shared" si="20"/>
        <v>1200</v>
      </c>
      <c r="Z17" s="103">
        <v>1100</v>
      </c>
      <c r="AA17" s="67">
        <v>200</v>
      </c>
      <c r="AB17" s="64">
        <v>200</v>
      </c>
      <c r="AC17" s="65">
        <v>600</v>
      </c>
      <c r="AD17" s="67">
        <v>200</v>
      </c>
      <c r="AE17" s="148">
        <v>400</v>
      </c>
      <c r="AF17" s="65">
        <v>500</v>
      </c>
      <c r="AG17" s="67">
        <v>200</v>
      </c>
      <c r="AH17" s="148">
        <v>400</v>
      </c>
      <c r="AI17" s="65">
        <v>0</v>
      </c>
      <c r="AJ17" s="67">
        <v>0</v>
      </c>
      <c r="AK17" s="146">
        <v>200</v>
      </c>
    </row>
    <row r="18" spans="1:37" ht="18.600000000000001" thickBot="1" x14ac:dyDescent="0.4">
      <c r="A18" s="25" t="s">
        <v>13</v>
      </c>
      <c r="B18" s="26" t="s">
        <v>63</v>
      </c>
      <c r="C18" s="25" t="s">
        <v>17</v>
      </c>
      <c r="D18" s="68">
        <v>1120</v>
      </c>
      <c r="E18" s="69">
        <v>280</v>
      </c>
      <c r="F18" s="70">
        <v>280</v>
      </c>
      <c r="G18" s="80">
        <f t="shared" ref="G18:G39" si="21">(D18-(H18*(18/100)))*(100/46)</f>
        <v>2196.5973534971645</v>
      </c>
      <c r="H18" s="125">
        <f t="shared" si="6"/>
        <v>608.695652173913</v>
      </c>
      <c r="I18" s="163">
        <f t="shared" si="7"/>
        <v>466.66666666666669</v>
      </c>
      <c r="J18" s="61">
        <f t="shared" si="8"/>
        <v>1098.2986767485822</v>
      </c>
      <c r="K18" s="66">
        <f t="shared" si="9"/>
        <v>202.89855072463766</v>
      </c>
      <c r="L18" s="63">
        <f t="shared" si="10"/>
        <v>71.794871794871796</v>
      </c>
      <c r="M18" s="61">
        <f t="shared" si="11"/>
        <v>549.14933837429112</v>
      </c>
      <c r="N18" s="76">
        <f t="shared" si="12"/>
        <v>202.89855072463766</v>
      </c>
      <c r="O18" s="75">
        <f t="shared" si="13"/>
        <v>143.58974358974359</v>
      </c>
      <c r="P18" s="61">
        <f t="shared" si="14"/>
        <v>549.14933837429112</v>
      </c>
      <c r="Q18" s="76">
        <f t="shared" si="15"/>
        <v>202.89855072463766</v>
      </c>
      <c r="R18" s="75">
        <f t="shared" si="16"/>
        <v>143.58974358974359</v>
      </c>
      <c r="S18" s="61">
        <f t="shared" si="17"/>
        <v>0</v>
      </c>
      <c r="T18" s="76">
        <f t="shared" si="18"/>
        <v>0</v>
      </c>
      <c r="U18" s="75">
        <f t="shared" si="19"/>
        <v>107.69230769230769</v>
      </c>
      <c r="W18" s="80">
        <f t="shared" si="20"/>
        <v>2200</v>
      </c>
      <c r="X18" s="80">
        <f t="shared" si="20"/>
        <v>600</v>
      </c>
      <c r="Y18" s="80">
        <f t="shared" si="20"/>
        <v>600</v>
      </c>
      <c r="Z18" s="103">
        <v>1100</v>
      </c>
      <c r="AA18" s="67">
        <v>200</v>
      </c>
      <c r="AB18" s="107">
        <v>100</v>
      </c>
      <c r="AC18" s="65">
        <v>600</v>
      </c>
      <c r="AD18" s="67">
        <v>200</v>
      </c>
      <c r="AE18" s="107">
        <v>200</v>
      </c>
      <c r="AF18" s="65">
        <v>500</v>
      </c>
      <c r="AG18" s="67">
        <v>200</v>
      </c>
      <c r="AH18" s="107">
        <v>200</v>
      </c>
      <c r="AI18" s="65">
        <v>0</v>
      </c>
      <c r="AJ18" s="67">
        <v>0</v>
      </c>
      <c r="AK18" s="109">
        <v>100</v>
      </c>
    </row>
    <row r="19" spans="1:37" x14ac:dyDescent="0.35">
      <c r="A19" s="27" t="s">
        <v>13</v>
      </c>
      <c r="B19" s="28" t="s">
        <v>18</v>
      </c>
      <c r="C19" s="27" t="s">
        <v>15</v>
      </c>
      <c r="D19" s="61">
        <v>1120</v>
      </c>
      <c r="E19" s="66">
        <v>140</v>
      </c>
      <c r="F19" s="63">
        <v>1120</v>
      </c>
      <c r="G19" s="80">
        <f t="shared" si="21"/>
        <v>2315.6899810964082</v>
      </c>
      <c r="H19" s="125">
        <f t="shared" si="6"/>
        <v>304.3478260869565</v>
      </c>
      <c r="I19" s="163">
        <f t="shared" si="7"/>
        <v>1866.6666666666667</v>
      </c>
      <c r="J19" s="61">
        <f t="shared" si="8"/>
        <v>1157.8449905482041</v>
      </c>
      <c r="K19" s="66">
        <f t="shared" si="9"/>
        <v>101.44927536231883</v>
      </c>
      <c r="L19" s="63">
        <f t="shared" si="10"/>
        <v>287.17948717948718</v>
      </c>
      <c r="M19" s="61">
        <f t="shared" si="11"/>
        <v>578.92249527410206</v>
      </c>
      <c r="N19" s="76">
        <f t="shared" si="12"/>
        <v>101.44927536231883</v>
      </c>
      <c r="O19" s="75">
        <f t="shared" si="13"/>
        <v>574.35897435897436</v>
      </c>
      <c r="P19" s="61">
        <f t="shared" si="14"/>
        <v>578.92249527410206</v>
      </c>
      <c r="Q19" s="76">
        <f t="shared" si="15"/>
        <v>101.44927536231883</v>
      </c>
      <c r="R19" s="75">
        <f t="shared" si="16"/>
        <v>574.35897435897436</v>
      </c>
      <c r="S19" s="61">
        <f t="shared" si="17"/>
        <v>0</v>
      </c>
      <c r="T19" s="76">
        <f t="shared" si="18"/>
        <v>0</v>
      </c>
      <c r="U19" s="75">
        <f t="shared" si="19"/>
        <v>430.76923076923077</v>
      </c>
      <c r="W19" s="80">
        <f>Z19+AC19+AF19+AI19</f>
        <v>2400</v>
      </c>
      <c r="X19" s="80">
        <f t="shared" si="20"/>
        <v>300</v>
      </c>
      <c r="Y19" s="80">
        <f t="shared" si="20"/>
        <v>2300</v>
      </c>
      <c r="Z19" s="98">
        <v>1200</v>
      </c>
      <c r="AA19" s="99">
        <v>100</v>
      </c>
      <c r="AB19" s="142">
        <v>400</v>
      </c>
      <c r="AC19" s="101">
        <v>600</v>
      </c>
      <c r="AD19" s="99">
        <v>100</v>
      </c>
      <c r="AE19" s="100">
        <v>700</v>
      </c>
      <c r="AF19" s="101">
        <v>600</v>
      </c>
      <c r="AG19" s="99">
        <v>100</v>
      </c>
      <c r="AH19" s="100">
        <v>700</v>
      </c>
      <c r="AI19" s="101">
        <v>0</v>
      </c>
      <c r="AJ19" s="99">
        <v>0</v>
      </c>
      <c r="AK19" s="102">
        <v>500</v>
      </c>
    </row>
    <row r="20" spans="1:37" x14ac:dyDescent="0.35">
      <c r="A20" s="27" t="s">
        <v>13</v>
      </c>
      <c r="B20" s="28" t="s">
        <v>18</v>
      </c>
      <c r="C20" s="27" t="s">
        <v>64</v>
      </c>
      <c r="D20" s="61">
        <v>1120</v>
      </c>
      <c r="E20" s="66">
        <v>140</v>
      </c>
      <c r="F20" s="63">
        <v>560</v>
      </c>
      <c r="G20" s="80">
        <f t="shared" si="21"/>
        <v>2315.6899810964082</v>
      </c>
      <c r="H20" s="125">
        <f t="shared" si="6"/>
        <v>304.3478260869565</v>
      </c>
      <c r="I20" s="163">
        <f t="shared" si="7"/>
        <v>933.33333333333337</v>
      </c>
      <c r="J20" s="61">
        <f t="shared" si="8"/>
        <v>1157.8449905482041</v>
      </c>
      <c r="K20" s="66">
        <f t="shared" si="9"/>
        <v>101.44927536231883</v>
      </c>
      <c r="L20" s="63">
        <f t="shared" si="10"/>
        <v>143.58974358974359</v>
      </c>
      <c r="M20" s="61">
        <f t="shared" si="11"/>
        <v>578.92249527410206</v>
      </c>
      <c r="N20" s="76">
        <f t="shared" si="12"/>
        <v>101.44927536231883</v>
      </c>
      <c r="O20" s="75">
        <f t="shared" si="13"/>
        <v>287.17948717948718</v>
      </c>
      <c r="P20" s="61">
        <f t="shared" si="14"/>
        <v>578.92249527410206</v>
      </c>
      <c r="Q20" s="76">
        <f t="shared" si="15"/>
        <v>101.44927536231883</v>
      </c>
      <c r="R20" s="75">
        <f t="shared" si="16"/>
        <v>287.17948717948718</v>
      </c>
      <c r="S20" s="61">
        <f t="shared" si="17"/>
        <v>0</v>
      </c>
      <c r="T20" s="76">
        <f t="shared" si="18"/>
        <v>0</v>
      </c>
      <c r="U20" s="75">
        <f t="shared" si="19"/>
        <v>215.38461538461539</v>
      </c>
      <c r="W20" s="80">
        <f t="shared" si="20"/>
        <v>2400</v>
      </c>
      <c r="X20" s="80">
        <f t="shared" si="20"/>
        <v>300</v>
      </c>
      <c r="Y20" s="80">
        <f t="shared" si="20"/>
        <v>1200</v>
      </c>
      <c r="Z20" s="103">
        <v>1200</v>
      </c>
      <c r="AA20" s="67">
        <v>100</v>
      </c>
      <c r="AB20" s="64">
        <v>200</v>
      </c>
      <c r="AC20" s="65">
        <v>600</v>
      </c>
      <c r="AD20" s="67">
        <v>100</v>
      </c>
      <c r="AE20" s="148">
        <v>400</v>
      </c>
      <c r="AF20" s="65">
        <v>600</v>
      </c>
      <c r="AG20" s="67">
        <v>100</v>
      </c>
      <c r="AH20" s="148">
        <v>400</v>
      </c>
      <c r="AI20" s="65">
        <v>0</v>
      </c>
      <c r="AJ20" s="67">
        <v>0</v>
      </c>
      <c r="AK20" s="146">
        <v>200</v>
      </c>
    </row>
    <row r="21" spans="1:37" ht="18.600000000000001" thickBot="1" x14ac:dyDescent="0.4">
      <c r="A21" s="27" t="s">
        <v>13</v>
      </c>
      <c r="B21" s="28" t="s">
        <v>18</v>
      </c>
      <c r="C21" s="27" t="s">
        <v>17</v>
      </c>
      <c r="D21" s="68">
        <v>1120</v>
      </c>
      <c r="E21" s="69">
        <v>140</v>
      </c>
      <c r="F21" s="70">
        <v>280</v>
      </c>
      <c r="G21" s="80">
        <f t="shared" si="21"/>
        <v>2315.6899810964082</v>
      </c>
      <c r="H21" s="125">
        <f t="shared" si="6"/>
        <v>304.3478260869565</v>
      </c>
      <c r="I21" s="163">
        <f t="shared" si="7"/>
        <v>466.66666666666669</v>
      </c>
      <c r="J21" s="61">
        <f t="shared" si="8"/>
        <v>1157.8449905482041</v>
      </c>
      <c r="K21" s="66">
        <f t="shared" si="9"/>
        <v>101.44927536231883</v>
      </c>
      <c r="L21" s="63">
        <f t="shared" si="10"/>
        <v>71.794871794871796</v>
      </c>
      <c r="M21" s="61">
        <f t="shared" si="11"/>
        <v>578.92249527410206</v>
      </c>
      <c r="N21" s="76">
        <f t="shared" si="12"/>
        <v>101.44927536231883</v>
      </c>
      <c r="O21" s="75">
        <f t="shared" si="13"/>
        <v>143.58974358974359</v>
      </c>
      <c r="P21" s="61">
        <f t="shared" si="14"/>
        <v>578.92249527410206</v>
      </c>
      <c r="Q21" s="76">
        <f t="shared" si="15"/>
        <v>101.44927536231883</v>
      </c>
      <c r="R21" s="75">
        <f t="shared" si="16"/>
        <v>143.58974358974359</v>
      </c>
      <c r="S21" s="61">
        <f t="shared" si="17"/>
        <v>0</v>
      </c>
      <c r="T21" s="76">
        <f t="shared" si="18"/>
        <v>0</v>
      </c>
      <c r="U21" s="75">
        <f t="shared" si="19"/>
        <v>107.69230769230769</v>
      </c>
      <c r="W21" s="80">
        <f t="shared" si="20"/>
        <v>2400</v>
      </c>
      <c r="X21" s="80">
        <f t="shared" si="20"/>
        <v>300</v>
      </c>
      <c r="Y21" s="80">
        <f t="shared" si="20"/>
        <v>600</v>
      </c>
      <c r="Z21" s="105">
        <v>1200</v>
      </c>
      <c r="AA21" s="106">
        <v>100</v>
      </c>
      <c r="AB21" s="107">
        <v>100</v>
      </c>
      <c r="AC21" s="108">
        <v>600</v>
      </c>
      <c r="AD21" s="106">
        <v>100</v>
      </c>
      <c r="AE21" s="107">
        <v>200</v>
      </c>
      <c r="AF21" s="108">
        <v>600</v>
      </c>
      <c r="AG21" s="106">
        <v>100</v>
      </c>
      <c r="AH21" s="107">
        <v>200</v>
      </c>
      <c r="AI21" s="108">
        <v>0</v>
      </c>
      <c r="AJ21" s="106">
        <v>0</v>
      </c>
      <c r="AK21" s="109">
        <v>100</v>
      </c>
    </row>
    <row r="22" spans="1:37" x14ac:dyDescent="0.35">
      <c r="A22" s="29" t="s">
        <v>19</v>
      </c>
      <c r="B22" s="30" t="s">
        <v>14</v>
      </c>
      <c r="C22" s="31" t="s">
        <v>15</v>
      </c>
      <c r="D22" s="71">
        <v>560</v>
      </c>
      <c r="E22" s="62">
        <v>560</v>
      </c>
      <c r="F22" s="63">
        <v>1120</v>
      </c>
      <c r="G22" s="80">
        <f t="shared" si="21"/>
        <v>741.02079395085082</v>
      </c>
      <c r="H22" s="125">
        <f t="shared" si="6"/>
        <v>1217.391304347826</v>
      </c>
      <c r="I22" s="163">
        <f t="shared" si="7"/>
        <v>1866.6666666666667</v>
      </c>
      <c r="J22" s="61">
        <f t="shared" si="8"/>
        <v>370.51039697542541</v>
      </c>
      <c r="K22" s="66">
        <f t="shared" si="9"/>
        <v>405.79710144927532</v>
      </c>
      <c r="L22" s="63">
        <f t="shared" si="10"/>
        <v>287.17948717948718</v>
      </c>
      <c r="M22" s="61">
        <f t="shared" si="11"/>
        <v>185.2551984877127</v>
      </c>
      <c r="N22" s="76">
        <f t="shared" si="12"/>
        <v>405.79710144927532</v>
      </c>
      <c r="O22" s="75">
        <f t="shared" si="13"/>
        <v>574.35897435897436</v>
      </c>
      <c r="P22" s="61">
        <f t="shared" si="14"/>
        <v>185.2551984877127</v>
      </c>
      <c r="Q22" s="76">
        <f t="shared" si="15"/>
        <v>405.79710144927532</v>
      </c>
      <c r="R22" s="75">
        <f t="shared" si="16"/>
        <v>574.35897435897436</v>
      </c>
      <c r="S22" s="61">
        <f t="shared" si="17"/>
        <v>0</v>
      </c>
      <c r="T22" s="76">
        <f t="shared" si="18"/>
        <v>0</v>
      </c>
      <c r="U22" s="75">
        <f t="shared" si="19"/>
        <v>430.76923076923077</v>
      </c>
      <c r="W22" s="80">
        <f>Z22+AC22+AF22+AI22</f>
        <v>800</v>
      </c>
      <c r="X22" s="80">
        <f>AA22+AD22+AG22+AJ22</f>
        <v>1200</v>
      </c>
      <c r="Y22" s="80">
        <f t="shared" si="20"/>
        <v>2300</v>
      </c>
      <c r="Z22" s="103">
        <v>400</v>
      </c>
      <c r="AA22" s="99">
        <v>400</v>
      </c>
      <c r="AB22" s="142">
        <v>400</v>
      </c>
      <c r="AC22" s="65">
        <v>200</v>
      </c>
      <c r="AD22" s="99">
        <v>400</v>
      </c>
      <c r="AE22" s="100">
        <v>700</v>
      </c>
      <c r="AF22" s="65">
        <v>200</v>
      </c>
      <c r="AG22" s="99">
        <v>400</v>
      </c>
      <c r="AH22" s="100">
        <v>700</v>
      </c>
      <c r="AI22" s="65">
        <v>0</v>
      </c>
      <c r="AJ22" s="67">
        <v>0</v>
      </c>
      <c r="AK22" s="102">
        <v>500</v>
      </c>
    </row>
    <row r="23" spans="1:37" x14ac:dyDescent="0.35">
      <c r="A23" s="29" t="s">
        <v>19</v>
      </c>
      <c r="B23" s="30" t="s">
        <v>14</v>
      </c>
      <c r="C23" s="31" t="s">
        <v>64</v>
      </c>
      <c r="D23" s="61">
        <v>560</v>
      </c>
      <c r="E23" s="66">
        <v>560</v>
      </c>
      <c r="F23" s="63">
        <v>560</v>
      </c>
      <c r="G23" s="80">
        <f t="shared" si="21"/>
        <v>741.02079395085082</v>
      </c>
      <c r="H23" s="125">
        <f t="shared" si="6"/>
        <v>1217.391304347826</v>
      </c>
      <c r="I23" s="163">
        <f t="shared" si="7"/>
        <v>933.33333333333337</v>
      </c>
      <c r="J23" s="61">
        <f t="shared" si="8"/>
        <v>370.51039697542541</v>
      </c>
      <c r="K23" s="66">
        <f t="shared" si="9"/>
        <v>405.79710144927532</v>
      </c>
      <c r="L23" s="63">
        <f t="shared" si="10"/>
        <v>143.58974358974359</v>
      </c>
      <c r="M23" s="61">
        <f t="shared" si="11"/>
        <v>185.2551984877127</v>
      </c>
      <c r="N23" s="76">
        <f t="shared" si="12"/>
        <v>405.79710144927532</v>
      </c>
      <c r="O23" s="75">
        <f t="shared" si="13"/>
        <v>287.17948717948718</v>
      </c>
      <c r="P23" s="61">
        <f t="shared" si="14"/>
        <v>185.2551984877127</v>
      </c>
      <c r="Q23" s="76">
        <f t="shared" si="15"/>
        <v>405.79710144927532</v>
      </c>
      <c r="R23" s="75">
        <f t="shared" si="16"/>
        <v>287.17948717948718</v>
      </c>
      <c r="S23" s="61">
        <f t="shared" si="17"/>
        <v>0</v>
      </c>
      <c r="T23" s="76">
        <f t="shared" si="18"/>
        <v>0</v>
      </c>
      <c r="U23" s="75">
        <f t="shared" si="19"/>
        <v>215.38461538461539</v>
      </c>
      <c r="W23" s="80">
        <f t="shared" si="20"/>
        <v>800</v>
      </c>
      <c r="X23" s="80">
        <f t="shared" si="20"/>
        <v>1200</v>
      </c>
      <c r="Y23" s="80">
        <f t="shared" si="20"/>
        <v>1200</v>
      </c>
      <c r="Z23" s="103">
        <v>400</v>
      </c>
      <c r="AA23" s="67">
        <v>400</v>
      </c>
      <c r="AB23" s="64">
        <v>200</v>
      </c>
      <c r="AC23" s="65">
        <v>200</v>
      </c>
      <c r="AD23" s="67">
        <v>400</v>
      </c>
      <c r="AE23" s="148">
        <v>400</v>
      </c>
      <c r="AF23" s="65">
        <v>200</v>
      </c>
      <c r="AG23" s="67">
        <v>400</v>
      </c>
      <c r="AH23" s="148">
        <v>400</v>
      </c>
      <c r="AI23" s="65">
        <v>0</v>
      </c>
      <c r="AJ23" s="67">
        <v>0</v>
      </c>
      <c r="AK23" s="146">
        <v>200</v>
      </c>
    </row>
    <row r="24" spans="1:37" ht="18.600000000000001" thickBot="1" x14ac:dyDescent="0.4">
      <c r="A24" s="29" t="s">
        <v>19</v>
      </c>
      <c r="B24" s="30" t="s">
        <v>14</v>
      </c>
      <c r="C24" s="31" t="s">
        <v>17</v>
      </c>
      <c r="D24" s="68">
        <v>560</v>
      </c>
      <c r="E24" s="69">
        <v>560</v>
      </c>
      <c r="F24" s="70">
        <v>280</v>
      </c>
      <c r="G24" s="80">
        <f t="shared" si="21"/>
        <v>741.02079395085082</v>
      </c>
      <c r="H24" s="125">
        <f t="shared" si="6"/>
        <v>1217.391304347826</v>
      </c>
      <c r="I24" s="163">
        <f t="shared" si="7"/>
        <v>466.66666666666669</v>
      </c>
      <c r="J24" s="61">
        <f t="shared" si="8"/>
        <v>370.51039697542541</v>
      </c>
      <c r="K24" s="66">
        <f t="shared" si="9"/>
        <v>405.79710144927532</v>
      </c>
      <c r="L24" s="63">
        <f t="shared" si="10"/>
        <v>71.794871794871796</v>
      </c>
      <c r="M24" s="61">
        <f t="shared" si="11"/>
        <v>185.2551984877127</v>
      </c>
      <c r="N24" s="76">
        <f t="shared" si="12"/>
        <v>405.79710144927532</v>
      </c>
      <c r="O24" s="75">
        <f t="shared" si="13"/>
        <v>143.58974358974359</v>
      </c>
      <c r="P24" s="61">
        <f t="shared" si="14"/>
        <v>185.2551984877127</v>
      </c>
      <c r="Q24" s="76">
        <f t="shared" si="15"/>
        <v>405.79710144927532</v>
      </c>
      <c r="R24" s="75">
        <f t="shared" si="16"/>
        <v>143.58974358974359</v>
      </c>
      <c r="S24" s="61">
        <f t="shared" si="17"/>
        <v>0</v>
      </c>
      <c r="T24" s="76">
        <f t="shared" si="18"/>
        <v>0</v>
      </c>
      <c r="U24" s="75">
        <f t="shared" si="19"/>
        <v>107.69230769230769</v>
      </c>
      <c r="W24" s="80">
        <f t="shared" si="20"/>
        <v>800</v>
      </c>
      <c r="X24" s="80">
        <f t="shared" si="20"/>
        <v>1200</v>
      </c>
      <c r="Y24" s="80">
        <f t="shared" si="20"/>
        <v>600</v>
      </c>
      <c r="Z24" s="103">
        <v>400</v>
      </c>
      <c r="AA24" s="106">
        <v>400</v>
      </c>
      <c r="AB24" s="107">
        <v>100</v>
      </c>
      <c r="AC24" s="65">
        <v>200</v>
      </c>
      <c r="AD24" s="106">
        <v>400</v>
      </c>
      <c r="AE24" s="107">
        <v>200</v>
      </c>
      <c r="AF24" s="65">
        <v>200</v>
      </c>
      <c r="AG24" s="106">
        <v>400</v>
      </c>
      <c r="AH24" s="107">
        <v>200</v>
      </c>
      <c r="AI24" s="65">
        <v>0</v>
      </c>
      <c r="AJ24" s="67">
        <v>0</v>
      </c>
      <c r="AK24" s="109">
        <v>100</v>
      </c>
    </row>
    <row r="25" spans="1:37" x14ac:dyDescent="0.35">
      <c r="A25" s="32" t="s">
        <v>19</v>
      </c>
      <c r="B25" s="33" t="s">
        <v>63</v>
      </c>
      <c r="C25" s="34" t="s">
        <v>15</v>
      </c>
      <c r="D25" s="61">
        <v>560</v>
      </c>
      <c r="E25" s="62">
        <v>280</v>
      </c>
      <c r="F25" s="72">
        <v>1120</v>
      </c>
      <c r="G25" s="80">
        <f t="shared" si="21"/>
        <v>979.20604914933836</v>
      </c>
      <c r="H25" s="125">
        <f t="shared" si="6"/>
        <v>608.695652173913</v>
      </c>
      <c r="I25" s="163">
        <f t="shared" si="7"/>
        <v>1866.6666666666667</v>
      </c>
      <c r="J25" s="61">
        <f t="shared" si="8"/>
        <v>489.60302457466918</v>
      </c>
      <c r="K25" s="66">
        <f t="shared" si="9"/>
        <v>202.89855072463766</v>
      </c>
      <c r="L25" s="63">
        <f t="shared" si="10"/>
        <v>287.17948717948718</v>
      </c>
      <c r="M25" s="61">
        <f t="shared" si="11"/>
        <v>244.80151228733459</v>
      </c>
      <c r="N25" s="76">
        <f t="shared" si="12"/>
        <v>202.89855072463766</v>
      </c>
      <c r="O25" s="75">
        <f t="shared" si="13"/>
        <v>574.35897435897436</v>
      </c>
      <c r="P25" s="61">
        <f t="shared" si="14"/>
        <v>244.80151228733459</v>
      </c>
      <c r="Q25" s="76">
        <f t="shared" si="15"/>
        <v>202.89855072463766</v>
      </c>
      <c r="R25" s="75">
        <f t="shared" si="16"/>
        <v>574.35897435897436</v>
      </c>
      <c r="S25" s="61">
        <f t="shared" si="17"/>
        <v>0</v>
      </c>
      <c r="T25" s="76">
        <f t="shared" si="18"/>
        <v>0</v>
      </c>
      <c r="U25" s="75">
        <f t="shared" si="19"/>
        <v>430.76923076923077</v>
      </c>
      <c r="W25" s="80">
        <f>Z25+AC25+AF25+AI25</f>
        <v>1000</v>
      </c>
      <c r="X25" s="80">
        <f t="shared" si="20"/>
        <v>600</v>
      </c>
      <c r="Y25" s="80">
        <f t="shared" si="20"/>
        <v>2300</v>
      </c>
      <c r="Z25" s="98">
        <v>500</v>
      </c>
      <c r="AA25" s="67">
        <v>200</v>
      </c>
      <c r="AB25" s="142">
        <v>400</v>
      </c>
      <c r="AC25" s="101">
        <v>300</v>
      </c>
      <c r="AD25" s="67">
        <v>200</v>
      </c>
      <c r="AE25" s="100">
        <v>700</v>
      </c>
      <c r="AF25" s="101">
        <v>200</v>
      </c>
      <c r="AG25" s="67">
        <v>200</v>
      </c>
      <c r="AH25" s="100">
        <v>700</v>
      </c>
      <c r="AI25" s="101">
        <v>0</v>
      </c>
      <c r="AJ25" s="99">
        <v>0</v>
      </c>
      <c r="AK25" s="102">
        <v>500</v>
      </c>
    </row>
    <row r="26" spans="1:37" x14ac:dyDescent="0.35">
      <c r="A26" s="32" t="s">
        <v>19</v>
      </c>
      <c r="B26" s="33" t="s">
        <v>63</v>
      </c>
      <c r="C26" s="34" t="s">
        <v>64</v>
      </c>
      <c r="D26" s="61">
        <v>560</v>
      </c>
      <c r="E26" s="66">
        <v>280</v>
      </c>
      <c r="F26" s="63">
        <v>560</v>
      </c>
      <c r="G26" s="80">
        <f t="shared" si="21"/>
        <v>979.20604914933836</v>
      </c>
      <c r="H26" s="125">
        <f t="shared" si="6"/>
        <v>608.695652173913</v>
      </c>
      <c r="I26" s="163">
        <f t="shared" si="7"/>
        <v>933.33333333333337</v>
      </c>
      <c r="J26" s="61">
        <f t="shared" si="8"/>
        <v>489.60302457466918</v>
      </c>
      <c r="K26" s="66">
        <f t="shared" si="9"/>
        <v>202.89855072463766</v>
      </c>
      <c r="L26" s="63">
        <f t="shared" si="10"/>
        <v>143.58974358974359</v>
      </c>
      <c r="M26" s="61">
        <f t="shared" si="11"/>
        <v>244.80151228733459</v>
      </c>
      <c r="N26" s="76">
        <f t="shared" si="12"/>
        <v>202.89855072463766</v>
      </c>
      <c r="O26" s="75">
        <f t="shared" si="13"/>
        <v>287.17948717948718</v>
      </c>
      <c r="P26" s="61">
        <f t="shared" si="14"/>
        <v>244.80151228733459</v>
      </c>
      <c r="Q26" s="76">
        <f t="shared" si="15"/>
        <v>202.89855072463766</v>
      </c>
      <c r="R26" s="75">
        <f t="shared" si="16"/>
        <v>287.17948717948718</v>
      </c>
      <c r="S26" s="61">
        <f t="shared" si="17"/>
        <v>0</v>
      </c>
      <c r="T26" s="76">
        <f t="shared" si="18"/>
        <v>0</v>
      </c>
      <c r="U26" s="75">
        <f t="shared" si="19"/>
        <v>215.38461538461539</v>
      </c>
      <c r="W26" s="80">
        <f t="shared" si="20"/>
        <v>1000</v>
      </c>
      <c r="X26" s="80">
        <f t="shared" si="20"/>
        <v>600</v>
      </c>
      <c r="Y26" s="80">
        <f t="shared" si="20"/>
        <v>1200</v>
      </c>
      <c r="Z26" s="103">
        <v>500</v>
      </c>
      <c r="AA26" s="67">
        <v>200</v>
      </c>
      <c r="AB26" s="64">
        <v>200</v>
      </c>
      <c r="AC26" s="65">
        <v>300</v>
      </c>
      <c r="AD26" s="67">
        <v>200</v>
      </c>
      <c r="AE26" s="148">
        <v>400</v>
      </c>
      <c r="AF26" s="65">
        <v>200</v>
      </c>
      <c r="AG26" s="67">
        <v>200</v>
      </c>
      <c r="AH26" s="148">
        <v>400</v>
      </c>
      <c r="AI26" s="65">
        <v>0</v>
      </c>
      <c r="AJ26" s="67">
        <v>0</v>
      </c>
      <c r="AK26" s="146">
        <v>200</v>
      </c>
    </row>
    <row r="27" spans="1:37" ht="18.600000000000001" thickBot="1" x14ac:dyDescent="0.4">
      <c r="A27" s="32" t="s">
        <v>19</v>
      </c>
      <c r="B27" s="33" t="s">
        <v>63</v>
      </c>
      <c r="C27" s="34" t="s">
        <v>17</v>
      </c>
      <c r="D27" s="68">
        <v>560</v>
      </c>
      <c r="E27" s="69">
        <v>280</v>
      </c>
      <c r="F27" s="70">
        <v>280</v>
      </c>
      <c r="G27" s="80">
        <f t="shared" si="21"/>
        <v>979.20604914933836</v>
      </c>
      <c r="H27" s="125">
        <f t="shared" si="6"/>
        <v>608.695652173913</v>
      </c>
      <c r="I27" s="163">
        <f t="shared" si="7"/>
        <v>466.66666666666669</v>
      </c>
      <c r="J27" s="61">
        <f t="shared" si="8"/>
        <v>489.60302457466918</v>
      </c>
      <c r="K27" s="66">
        <f t="shared" si="9"/>
        <v>202.89855072463766</v>
      </c>
      <c r="L27" s="63">
        <f t="shared" si="10"/>
        <v>71.794871794871796</v>
      </c>
      <c r="M27" s="61">
        <f t="shared" si="11"/>
        <v>244.80151228733459</v>
      </c>
      <c r="N27" s="76">
        <f t="shared" si="12"/>
        <v>202.89855072463766</v>
      </c>
      <c r="O27" s="75">
        <f t="shared" si="13"/>
        <v>143.58974358974359</v>
      </c>
      <c r="P27" s="61">
        <f t="shared" si="14"/>
        <v>244.80151228733459</v>
      </c>
      <c r="Q27" s="76">
        <f t="shared" si="15"/>
        <v>202.89855072463766</v>
      </c>
      <c r="R27" s="75">
        <f t="shared" si="16"/>
        <v>143.58974358974359</v>
      </c>
      <c r="S27" s="61">
        <f t="shared" si="17"/>
        <v>0</v>
      </c>
      <c r="T27" s="76">
        <f t="shared" si="18"/>
        <v>0</v>
      </c>
      <c r="U27" s="75">
        <f t="shared" si="19"/>
        <v>107.69230769230769</v>
      </c>
      <c r="W27" s="80">
        <f t="shared" si="20"/>
        <v>1000</v>
      </c>
      <c r="X27" s="80">
        <f t="shared" si="20"/>
        <v>600</v>
      </c>
      <c r="Y27" s="80">
        <f t="shared" si="20"/>
        <v>600</v>
      </c>
      <c r="Z27" s="105">
        <v>500</v>
      </c>
      <c r="AA27" s="67">
        <v>200</v>
      </c>
      <c r="AB27" s="107">
        <v>100</v>
      </c>
      <c r="AC27" s="108">
        <v>300</v>
      </c>
      <c r="AD27" s="67">
        <v>200</v>
      </c>
      <c r="AE27" s="107">
        <v>200</v>
      </c>
      <c r="AF27" s="108">
        <v>200</v>
      </c>
      <c r="AG27" s="67">
        <v>200</v>
      </c>
      <c r="AH27" s="107">
        <v>200</v>
      </c>
      <c r="AI27" s="108">
        <v>0</v>
      </c>
      <c r="AJ27" s="106">
        <v>0</v>
      </c>
      <c r="AK27" s="109">
        <v>100</v>
      </c>
    </row>
    <row r="28" spans="1:37" x14ac:dyDescent="0.35">
      <c r="A28" s="35" t="s">
        <v>19</v>
      </c>
      <c r="B28" s="36" t="s">
        <v>18</v>
      </c>
      <c r="C28" s="37" t="s">
        <v>15</v>
      </c>
      <c r="D28" s="71">
        <v>560</v>
      </c>
      <c r="E28" s="62">
        <v>140</v>
      </c>
      <c r="F28" s="72">
        <v>1120</v>
      </c>
      <c r="G28" s="80">
        <f t="shared" si="21"/>
        <v>1098.2986767485822</v>
      </c>
      <c r="H28" s="125">
        <f t="shared" si="6"/>
        <v>304.3478260869565</v>
      </c>
      <c r="I28" s="163">
        <f t="shared" si="7"/>
        <v>1866.6666666666667</v>
      </c>
      <c r="J28" s="61">
        <f t="shared" si="8"/>
        <v>549.14933837429112</v>
      </c>
      <c r="K28" s="66">
        <f t="shared" si="9"/>
        <v>101.44927536231883</v>
      </c>
      <c r="L28" s="63">
        <f t="shared" si="10"/>
        <v>287.17948717948718</v>
      </c>
      <c r="M28" s="61">
        <f t="shared" si="11"/>
        <v>274.57466918714556</v>
      </c>
      <c r="N28" s="76">
        <f t="shared" si="12"/>
        <v>101.44927536231883</v>
      </c>
      <c r="O28" s="75">
        <f t="shared" si="13"/>
        <v>574.35897435897436</v>
      </c>
      <c r="P28" s="61">
        <f t="shared" si="14"/>
        <v>274.57466918714556</v>
      </c>
      <c r="Q28" s="76">
        <f t="shared" si="15"/>
        <v>101.44927536231883</v>
      </c>
      <c r="R28" s="75">
        <f t="shared" si="16"/>
        <v>574.35897435897436</v>
      </c>
      <c r="S28" s="61">
        <f t="shared" si="17"/>
        <v>0</v>
      </c>
      <c r="T28" s="76">
        <f t="shared" si="18"/>
        <v>0</v>
      </c>
      <c r="U28" s="75">
        <f t="shared" si="19"/>
        <v>430.76923076923077</v>
      </c>
      <c r="W28" s="80">
        <f>Z28+AC28+AF28+AI28</f>
        <v>1200</v>
      </c>
      <c r="X28" s="80">
        <f>AA28+AD28+AG28+AJ28</f>
        <v>300</v>
      </c>
      <c r="Y28" s="80">
        <f t="shared" si="20"/>
        <v>2300</v>
      </c>
      <c r="Z28" s="103">
        <v>600</v>
      </c>
      <c r="AA28" s="99">
        <v>100</v>
      </c>
      <c r="AB28" s="142">
        <v>400</v>
      </c>
      <c r="AC28" s="65">
        <v>300</v>
      </c>
      <c r="AD28" s="99">
        <v>100</v>
      </c>
      <c r="AE28" s="100">
        <v>700</v>
      </c>
      <c r="AF28" s="65">
        <v>300</v>
      </c>
      <c r="AG28" s="99">
        <v>100</v>
      </c>
      <c r="AH28" s="100">
        <v>700</v>
      </c>
      <c r="AI28" s="65">
        <v>0</v>
      </c>
      <c r="AJ28" s="67">
        <v>0</v>
      </c>
      <c r="AK28" s="102">
        <v>500</v>
      </c>
    </row>
    <row r="29" spans="1:37" x14ac:dyDescent="0.35">
      <c r="A29" s="35" t="s">
        <v>19</v>
      </c>
      <c r="B29" s="36" t="s">
        <v>18</v>
      </c>
      <c r="C29" s="37" t="s">
        <v>64</v>
      </c>
      <c r="D29" s="61">
        <v>560</v>
      </c>
      <c r="E29" s="66">
        <v>140</v>
      </c>
      <c r="F29" s="63">
        <v>560</v>
      </c>
      <c r="G29" s="80">
        <f t="shared" si="21"/>
        <v>1098.2986767485822</v>
      </c>
      <c r="H29" s="125">
        <f t="shared" si="6"/>
        <v>304.3478260869565</v>
      </c>
      <c r="I29" s="163">
        <f t="shared" si="7"/>
        <v>933.33333333333337</v>
      </c>
      <c r="J29" s="61">
        <f t="shared" si="8"/>
        <v>549.14933837429112</v>
      </c>
      <c r="K29" s="66">
        <f t="shared" si="9"/>
        <v>101.44927536231883</v>
      </c>
      <c r="L29" s="63">
        <f t="shared" si="10"/>
        <v>143.58974358974359</v>
      </c>
      <c r="M29" s="61">
        <f t="shared" si="11"/>
        <v>274.57466918714556</v>
      </c>
      <c r="N29" s="76">
        <f t="shared" si="12"/>
        <v>101.44927536231883</v>
      </c>
      <c r="O29" s="75">
        <f t="shared" si="13"/>
        <v>287.17948717948718</v>
      </c>
      <c r="P29" s="61">
        <f t="shared" si="14"/>
        <v>274.57466918714556</v>
      </c>
      <c r="Q29" s="76">
        <f t="shared" si="15"/>
        <v>101.44927536231883</v>
      </c>
      <c r="R29" s="75">
        <f t="shared" si="16"/>
        <v>287.17948717948718</v>
      </c>
      <c r="S29" s="61">
        <f t="shared" si="17"/>
        <v>0</v>
      </c>
      <c r="T29" s="76">
        <f t="shared" si="18"/>
        <v>0</v>
      </c>
      <c r="U29" s="75">
        <f t="shared" si="19"/>
        <v>215.38461538461539</v>
      </c>
      <c r="W29" s="80">
        <f t="shared" si="20"/>
        <v>1200</v>
      </c>
      <c r="X29" s="80">
        <f t="shared" si="20"/>
        <v>300</v>
      </c>
      <c r="Y29" s="80">
        <f t="shared" si="20"/>
        <v>1200</v>
      </c>
      <c r="Z29" s="103">
        <v>600</v>
      </c>
      <c r="AA29" s="67">
        <v>100</v>
      </c>
      <c r="AB29" s="64">
        <v>200</v>
      </c>
      <c r="AC29" s="65">
        <v>300</v>
      </c>
      <c r="AD29" s="67">
        <v>100</v>
      </c>
      <c r="AE29" s="148">
        <v>400</v>
      </c>
      <c r="AF29" s="65">
        <v>300</v>
      </c>
      <c r="AG29" s="67">
        <v>100</v>
      </c>
      <c r="AH29" s="148">
        <v>400</v>
      </c>
      <c r="AI29" s="65">
        <v>0</v>
      </c>
      <c r="AJ29" s="67">
        <v>0</v>
      </c>
      <c r="AK29" s="146">
        <v>200</v>
      </c>
    </row>
    <row r="30" spans="1:37" ht="18.600000000000001" thickBot="1" x14ac:dyDescent="0.4">
      <c r="A30" s="35" t="s">
        <v>19</v>
      </c>
      <c r="B30" s="36" t="s">
        <v>18</v>
      </c>
      <c r="C30" s="37" t="s">
        <v>17</v>
      </c>
      <c r="D30" s="68">
        <v>560</v>
      </c>
      <c r="E30" s="69">
        <v>140</v>
      </c>
      <c r="F30" s="70">
        <v>280</v>
      </c>
      <c r="G30" s="80">
        <f t="shared" si="21"/>
        <v>1098.2986767485822</v>
      </c>
      <c r="H30" s="125">
        <f t="shared" si="6"/>
        <v>304.3478260869565</v>
      </c>
      <c r="I30" s="163">
        <f t="shared" si="7"/>
        <v>466.66666666666669</v>
      </c>
      <c r="J30" s="61">
        <f t="shared" si="8"/>
        <v>549.14933837429112</v>
      </c>
      <c r="K30" s="66">
        <f t="shared" si="9"/>
        <v>101.44927536231883</v>
      </c>
      <c r="L30" s="63">
        <f t="shared" si="10"/>
        <v>71.794871794871796</v>
      </c>
      <c r="M30" s="61">
        <f t="shared" si="11"/>
        <v>274.57466918714556</v>
      </c>
      <c r="N30" s="76">
        <f t="shared" si="12"/>
        <v>101.44927536231883</v>
      </c>
      <c r="O30" s="75">
        <f t="shared" si="13"/>
        <v>143.58974358974359</v>
      </c>
      <c r="P30" s="61">
        <f t="shared" si="14"/>
        <v>274.57466918714556</v>
      </c>
      <c r="Q30" s="76">
        <f t="shared" si="15"/>
        <v>101.44927536231883</v>
      </c>
      <c r="R30" s="75">
        <f t="shared" si="16"/>
        <v>143.58974358974359</v>
      </c>
      <c r="S30" s="61">
        <f t="shared" si="17"/>
        <v>0</v>
      </c>
      <c r="T30" s="76">
        <f t="shared" si="18"/>
        <v>0</v>
      </c>
      <c r="U30" s="75">
        <f t="shared" si="19"/>
        <v>107.69230769230769</v>
      </c>
      <c r="W30" s="80">
        <f t="shared" si="20"/>
        <v>1200</v>
      </c>
      <c r="X30" s="80">
        <f t="shared" si="20"/>
        <v>300</v>
      </c>
      <c r="Y30" s="80">
        <f t="shared" si="20"/>
        <v>600</v>
      </c>
      <c r="Z30" s="103">
        <v>600</v>
      </c>
      <c r="AA30" s="106">
        <v>100</v>
      </c>
      <c r="AB30" s="107">
        <v>100</v>
      </c>
      <c r="AC30" s="65">
        <v>300</v>
      </c>
      <c r="AD30" s="106">
        <v>100</v>
      </c>
      <c r="AE30" s="107">
        <v>200</v>
      </c>
      <c r="AF30" s="65">
        <v>300</v>
      </c>
      <c r="AG30" s="106">
        <v>100</v>
      </c>
      <c r="AH30" s="107">
        <v>200</v>
      </c>
      <c r="AI30" s="65">
        <v>0</v>
      </c>
      <c r="AJ30" s="67">
        <v>0</v>
      </c>
      <c r="AK30" s="109">
        <v>100</v>
      </c>
    </row>
    <row r="31" spans="1:37" x14ac:dyDescent="0.35">
      <c r="A31" s="38" t="s">
        <v>20</v>
      </c>
      <c r="B31" s="39" t="s">
        <v>14</v>
      </c>
      <c r="C31" s="40" t="s">
        <v>15</v>
      </c>
      <c r="D31" s="71">
        <v>280</v>
      </c>
      <c r="E31" s="62">
        <v>560</v>
      </c>
      <c r="F31" s="63">
        <v>1120</v>
      </c>
      <c r="G31" s="80">
        <f t="shared" si="21"/>
        <v>132.3251417769377</v>
      </c>
      <c r="H31" s="125">
        <f t="shared" si="6"/>
        <v>1217.391304347826</v>
      </c>
      <c r="I31" s="163">
        <f t="shared" si="7"/>
        <v>1866.6666666666667</v>
      </c>
      <c r="J31" s="61">
        <f t="shared" si="8"/>
        <v>66.162570888468849</v>
      </c>
      <c r="K31" s="66">
        <f t="shared" si="9"/>
        <v>405.79710144927532</v>
      </c>
      <c r="L31" s="63">
        <f t="shared" si="10"/>
        <v>287.17948717948718</v>
      </c>
      <c r="M31" s="61">
        <f t="shared" si="11"/>
        <v>33.081285444234425</v>
      </c>
      <c r="N31" s="76">
        <f t="shared" si="12"/>
        <v>405.79710144927532</v>
      </c>
      <c r="O31" s="75">
        <f t="shared" si="13"/>
        <v>574.35897435897436</v>
      </c>
      <c r="P31" s="61">
        <f t="shared" si="14"/>
        <v>33.081285444234425</v>
      </c>
      <c r="Q31" s="76">
        <f t="shared" si="15"/>
        <v>405.79710144927532</v>
      </c>
      <c r="R31" s="75">
        <f t="shared" si="16"/>
        <v>574.35897435897436</v>
      </c>
      <c r="S31" s="61">
        <f t="shared" si="17"/>
        <v>0</v>
      </c>
      <c r="T31" s="76">
        <f t="shared" si="18"/>
        <v>0</v>
      </c>
      <c r="U31" s="75">
        <f t="shared" si="19"/>
        <v>430.76923076923077</v>
      </c>
      <c r="W31" s="80">
        <f>Z31+AC31+AF31+AI31</f>
        <v>100</v>
      </c>
      <c r="X31" s="80">
        <f t="shared" si="20"/>
        <v>1200</v>
      </c>
      <c r="Y31" s="80">
        <f t="shared" si="20"/>
        <v>2300</v>
      </c>
      <c r="Z31" s="98">
        <v>100</v>
      </c>
      <c r="AA31" s="99">
        <v>400</v>
      </c>
      <c r="AB31" s="142">
        <v>400</v>
      </c>
      <c r="AC31" s="101">
        <v>0</v>
      </c>
      <c r="AD31" s="99">
        <v>400</v>
      </c>
      <c r="AE31" s="100">
        <v>700</v>
      </c>
      <c r="AF31" s="101">
        <v>0</v>
      </c>
      <c r="AG31" s="99">
        <v>400</v>
      </c>
      <c r="AH31" s="100">
        <v>700</v>
      </c>
      <c r="AI31" s="101">
        <v>0</v>
      </c>
      <c r="AJ31" s="99">
        <v>0</v>
      </c>
      <c r="AK31" s="102">
        <v>500</v>
      </c>
    </row>
    <row r="32" spans="1:37" x14ac:dyDescent="0.35">
      <c r="A32" s="38" t="s">
        <v>20</v>
      </c>
      <c r="B32" s="39" t="s">
        <v>14</v>
      </c>
      <c r="C32" s="40" t="s">
        <v>64</v>
      </c>
      <c r="D32" s="61">
        <v>280</v>
      </c>
      <c r="E32" s="66">
        <v>560</v>
      </c>
      <c r="F32" s="63">
        <v>560</v>
      </c>
      <c r="G32" s="80">
        <f t="shared" si="21"/>
        <v>132.3251417769377</v>
      </c>
      <c r="H32" s="125">
        <f t="shared" si="6"/>
        <v>1217.391304347826</v>
      </c>
      <c r="I32" s="163">
        <f t="shared" si="7"/>
        <v>933.33333333333337</v>
      </c>
      <c r="J32" s="61">
        <f t="shared" si="8"/>
        <v>66.162570888468849</v>
      </c>
      <c r="K32" s="66">
        <f t="shared" si="9"/>
        <v>405.79710144927532</v>
      </c>
      <c r="L32" s="63">
        <f t="shared" si="10"/>
        <v>143.58974358974359</v>
      </c>
      <c r="M32" s="61">
        <f t="shared" si="11"/>
        <v>33.081285444234425</v>
      </c>
      <c r="N32" s="76">
        <f t="shared" si="12"/>
        <v>405.79710144927532</v>
      </c>
      <c r="O32" s="75">
        <f t="shared" si="13"/>
        <v>287.17948717948718</v>
      </c>
      <c r="P32" s="61">
        <f t="shared" si="14"/>
        <v>33.081285444234425</v>
      </c>
      <c r="Q32" s="76">
        <f t="shared" si="15"/>
        <v>405.79710144927532</v>
      </c>
      <c r="R32" s="75">
        <f t="shared" si="16"/>
        <v>287.17948717948718</v>
      </c>
      <c r="S32" s="61">
        <f t="shared" si="17"/>
        <v>0</v>
      </c>
      <c r="T32" s="76">
        <f t="shared" si="18"/>
        <v>0</v>
      </c>
      <c r="U32" s="75">
        <f t="shared" si="19"/>
        <v>215.38461538461539</v>
      </c>
      <c r="W32" s="80">
        <f t="shared" si="20"/>
        <v>100</v>
      </c>
      <c r="X32" s="80">
        <f t="shared" si="20"/>
        <v>1200</v>
      </c>
      <c r="Y32" s="80">
        <f t="shared" si="20"/>
        <v>1200</v>
      </c>
      <c r="Z32" s="103">
        <v>100</v>
      </c>
      <c r="AA32" s="67">
        <v>400</v>
      </c>
      <c r="AB32" s="64">
        <v>200</v>
      </c>
      <c r="AC32" s="65">
        <v>0</v>
      </c>
      <c r="AD32" s="67">
        <v>400</v>
      </c>
      <c r="AE32" s="148">
        <v>400</v>
      </c>
      <c r="AF32" s="65">
        <v>0</v>
      </c>
      <c r="AG32" s="67">
        <v>400</v>
      </c>
      <c r="AH32" s="148">
        <v>400</v>
      </c>
      <c r="AI32" s="65">
        <v>0</v>
      </c>
      <c r="AJ32" s="67">
        <v>0</v>
      </c>
      <c r="AK32" s="146">
        <v>200</v>
      </c>
    </row>
    <row r="33" spans="1:37" ht="18.600000000000001" thickBot="1" x14ac:dyDescent="0.4">
      <c r="A33" s="38" t="s">
        <v>20</v>
      </c>
      <c r="B33" s="39" t="s">
        <v>14</v>
      </c>
      <c r="C33" s="40" t="s">
        <v>17</v>
      </c>
      <c r="D33" s="68">
        <v>280</v>
      </c>
      <c r="E33" s="69">
        <v>560</v>
      </c>
      <c r="F33" s="70">
        <v>280</v>
      </c>
      <c r="G33" s="80">
        <f t="shared" si="21"/>
        <v>132.3251417769377</v>
      </c>
      <c r="H33" s="125">
        <f t="shared" si="6"/>
        <v>1217.391304347826</v>
      </c>
      <c r="I33" s="163">
        <f t="shared" si="7"/>
        <v>466.66666666666669</v>
      </c>
      <c r="J33" s="61">
        <f t="shared" si="8"/>
        <v>66.162570888468849</v>
      </c>
      <c r="K33" s="66">
        <f t="shared" si="9"/>
        <v>405.79710144927532</v>
      </c>
      <c r="L33" s="63">
        <f t="shared" si="10"/>
        <v>71.794871794871796</v>
      </c>
      <c r="M33" s="61">
        <f t="shared" si="11"/>
        <v>33.081285444234425</v>
      </c>
      <c r="N33" s="76">
        <f t="shared" si="12"/>
        <v>405.79710144927532</v>
      </c>
      <c r="O33" s="75">
        <f t="shared" si="13"/>
        <v>143.58974358974359</v>
      </c>
      <c r="P33" s="61">
        <f t="shared" si="14"/>
        <v>33.081285444234425</v>
      </c>
      <c r="Q33" s="76">
        <f t="shared" si="15"/>
        <v>405.79710144927532</v>
      </c>
      <c r="R33" s="75">
        <f t="shared" si="16"/>
        <v>143.58974358974359</v>
      </c>
      <c r="S33" s="61">
        <f t="shared" si="17"/>
        <v>0</v>
      </c>
      <c r="T33" s="76">
        <f t="shared" si="18"/>
        <v>0</v>
      </c>
      <c r="U33" s="75">
        <f t="shared" si="19"/>
        <v>107.69230769230769</v>
      </c>
      <c r="W33" s="80">
        <f t="shared" si="20"/>
        <v>100</v>
      </c>
      <c r="X33" s="80">
        <f t="shared" si="20"/>
        <v>1200</v>
      </c>
      <c r="Y33" s="80">
        <f t="shared" si="20"/>
        <v>600</v>
      </c>
      <c r="Z33" s="105">
        <v>100</v>
      </c>
      <c r="AA33" s="106">
        <v>400</v>
      </c>
      <c r="AB33" s="107">
        <v>100</v>
      </c>
      <c r="AC33" s="108">
        <v>0</v>
      </c>
      <c r="AD33" s="106">
        <v>400</v>
      </c>
      <c r="AE33" s="107">
        <v>200</v>
      </c>
      <c r="AF33" s="108">
        <v>0</v>
      </c>
      <c r="AG33" s="106">
        <v>400</v>
      </c>
      <c r="AH33" s="107">
        <v>200</v>
      </c>
      <c r="AI33" s="108">
        <v>0</v>
      </c>
      <c r="AJ33" s="106">
        <v>0</v>
      </c>
      <c r="AK33" s="109">
        <v>100</v>
      </c>
    </row>
    <row r="34" spans="1:37" x14ac:dyDescent="0.35">
      <c r="A34" s="41" t="s">
        <v>20</v>
      </c>
      <c r="B34" s="42" t="s">
        <v>63</v>
      </c>
      <c r="C34" s="43" t="s">
        <v>15</v>
      </c>
      <c r="D34" s="71">
        <v>280</v>
      </c>
      <c r="E34" s="62">
        <v>280</v>
      </c>
      <c r="F34" s="72">
        <v>1120</v>
      </c>
      <c r="G34" s="80">
        <f t="shared" si="21"/>
        <v>370.51039697542541</v>
      </c>
      <c r="H34" s="125">
        <f t="shared" si="6"/>
        <v>608.695652173913</v>
      </c>
      <c r="I34" s="163">
        <f t="shared" si="7"/>
        <v>1866.6666666666667</v>
      </c>
      <c r="J34" s="61">
        <f t="shared" si="8"/>
        <v>185.2551984877127</v>
      </c>
      <c r="K34" s="66">
        <f t="shared" si="9"/>
        <v>202.89855072463766</v>
      </c>
      <c r="L34" s="63">
        <f t="shared" si="10"/>
        <v>287.17948717948718</v>
      </c>
      <c r="M34" s="61">
        <f t="shared" si="11"/>
        <v>92.627599243856352</v>
      </c>
      <c r="N34" s="76">
        <f t="shared" si="12"/>
        <v>202.89855072463766</v>
      </c>
      <c r="O34" s="75">
        <f t="shared" si="13"/>
        <v>574.35897435897436</v>
      </c>
      <c r="P34" s="61">
        <f t="shared" si="14"/>
        <v>92.627599243856352</v>
      </c>
      <c r="Q34" s="76">
        <f t="shared" si="15"/>
        <v>202.89855072463766</v>
      </c>
      <c r="R34" s="75">
        <f t="shared" si="16"/>
        <v>574.35897435897436</v>
      </c>
      <c r="S34" s="61">
        <f t="shared" si="17"/>
        <v>0</v>
      </c>
      <c r="T34" s="76">
        <f t="shared" si="18"/>
        <v>0</v>
      </c>
      <c r="U34" s="75">
        <f t="shared" si="19"/>
        <v>430.76923076923077</v>
      </c>
      <c r="W34" s="80">
        <f>Z34+AC34+AF34+AI34</f>
        <v>400</v>
      </c>
      <c r="X34" s="80">
        <f>AA34+AD34+AG34+AJ34</f>
        <v>600</v>
      </c>
      <c r="Y34" s="80">
        <f t="shared" si="20"/>
        <v>2300</v>
      </c>
      <c r="Z34" s="103">
        <v>200</v>
      </c>
      <c r="AA34" s="67">
        <v>200</v>
      </c>
      <c r="AB34" s="142">
        <v>400</v>
      </c>
      <c r="AC34" s="65">
        <v>100</v>
      </c>
      <c r="AD34" s="67">
        <v>200</v>
      </c>
      <c r="AE34" s="100">
        <v>700</v>
      </c>
      <c r="AF34" s="65">
        <v>100</v>
      </c>
      <c r="AG34" s="67">
        <v>200</v>
      </c>
      <c r="AH34" s="100">
        <v>700</v>
      </c>
      <c r="AI34" s="65">
        <v>0</v>
      </c>
      <c r="AJ34" s="67">
        <v>0</v>
      </c>
      <c r="AK34" s="102">
        <v>500</v>
      </c>
    </row>
    <row r="35" spans="1:37" x14ac:dyDescent="0.35">
      <c r="A35" s="41" t="s">
        <v>20</v>
      </c>
      <c r="B35" s="42" t="s">
        <v>63</v>
      </c>
      <c r="C35" s="43" t="s">
        <v>64</v>
      </c>
      <c r="D35" s="61">
        <v>280</v>
      </c>
      <c r="E35" s="66">
        <v>280</v>
      </c>
      <c r="F35" s="63">
        <v>560</v>
      </c>
      <c r="G35" s="80">
        <f t="shared" si="21"/>
        <v>370.51039697542541</v>
      </c>
      <c r="H35" s="125">
        <f t="shared" si="6"/>
        <v>608.695652173913</v>
      </c>
      <c r="I35" s="163">
        <f t="shared" si="7"/>
        <v>933.33333333333337</v>
      </c>
      <c r="J35" s="61">
        <f t="shared" si="8"/>
        <v>185.2551984877127</v>
      </c>
      <c r="K35" s="66">
        <f t="shared" si="9"/>
        <v>202.89855072463766</v>
      </c>
      <c r="L35" s="63">
        <f t="shared" si="10"/>
        <v>143.58974358974359</v>
      </c>
      <c r="M35" s="61">
        <f t="shared" si="11"/>
        <v>92.627599243856352</v>
      </c>
      <c r="N35" s="76">
        <f t="shared" si="12"/>
        <v>202.89855072463766</v>
      </c>
      <c r="O35" s="75">
        <f t="shared" si="13"/>
        <v>287.17948717948718</v>
      </c>
      <c r="P35" s="61">
        <f t="shared" si="14"/>
        <v>92.627599243856352</v>
      </c>
      <c r="Q35" s="76">
        <f t="shared" si="15"/>
        <v>202.89855072463766</v>
      </c>
      <c r="R35" s="75">
        <f t="shared" si="16"/>
        <v>287.17948717948718</v>
      </c>
      <c r="S35" s="61">
        <f t="shared" si="17"/>
        <v>0</v>
      </c>
      <c r="T35" s="76">
        <f t="shared" si="18"/>
        <v>0</v>
      </c>
      <c r="U35" s="75">
        <f t="shared" si="19"/>
        <v>215.38461538461539</v>
      </c>
      <c r="W35" s="80">
        <f t="shared" si="20"/>
        <v>400</v>
      </c>
      <c r="X35" s="80">
        <f t="shared" si="20"/>
        <v>600</v>
      </c>
      <c r="Y35" s="80">
        <f t="shared" si="20"/>
        <v>1200</v>
      </c>
      <c r="Z35" s="103">
        <v>200</v>
      </c>
      <c r="AA35" s="67">
        <v>200</v>
      </c>
      <c r="AB35" s="64">
        <v>200</v>
      </c>
      <c r="AC35" s="65">
        <v>100</v>
      </c>
      <c r="AD35" s="67">
        <v>200</v>
      </c>
      <c r="AE35" s="148">
        <v>400</v>
      </c>
      <c r="AF35" s="65">
        <v>100</v>
      </c>
      <c r="AG35" s="67">
        <v>200</v>
      </c>
      <c r="AH35" s="148">
        <v>400</v>
      </c>
      <c r="AI35" s="65">
        <v>0</v>
      </c>
      <c r="AJ35" s="67">
        <v>0</v>
      </c>
      <c r="AK35" s="146">
        <v>200</v>
      </c>
    </row>
    <row r="36" spans="1:37" ht="18.600000000000001" thickBot="1" x14ac:dyDescent="0.4">
      <c r="A36" s="41" t="s">
        <v>20</v>
      </c>
      <c r="B36" s="42" t="s">
        <v>63</v>
      </c>
      <c r="C36" s="43" t="s">
        <v>17</v>
      </c>
      <c r="D36" s="68">
        <v>280</v>
      </c>
      <c r="E36" s="69">
        <v>280</v>
      </c>
      <c r="F36" s="70">
        <v>280</v>
      </c>
      <c r="G36" s="80">
        <f t="shared" si="21"/>
        <v>370.51039697542541</v>
      </c>
      <c r="H36" s="125">
        <f t="shared" si="6"/>
        <v>608.695652173913</v>
      </c>
      <c r="I36" s="163">
        <f t="shared" si="7"/>
        <v>466.66666666666669</v>
      </c>
      <c r="J36" s="61">
        <f t="shared" si="8"/>
        <v>185.2551984877127</v>
      </c>
      <c r="K36" s="66">
        <f t="shared" si="9"/>
        <v>202.89855072463766</v>
      </c>
      <c r="L36" s="63">
        <f t="shared" si="10"/>
        <v>71.794871794871796</v>
      </c>
      <c r="M36" s="61">
        <f t="shared" si="11"/>
        <v>92.627599243856352</v>
      </c>
      <c r="N36" s="76">
        <f t="shared" si="12"/>
        <v>202.89855072463766</v>
      </c>
      <c r="O36" s="75">
        <f t="shared" si="13"/>
        <v>143.58974358974359</v>
      </c>
      <c r="P36" s="61">
        <f t="shared" si="14"/>
        <v>92.627599243856352</v>
      </c>
      <c r="Q36" s="76">
        <f t="shared" si="15"/>
        <v>202.89855072463766</v>
      </c>
      <c r="R36" s="75">
        <f t="shared" si="16"/>
        <v>143.58974358974359</v>
      </c>
      <c r="S36" s="61">
        <f t="shared" si="17"/>
        <v>0</v>
      </c>
      <c r="T36" s="76">
        <f t="shared" si="18"/>
        <v>0</v>
      </c>
      <c r="U36" s="75">
        <f t="shared" si="19"/>
        <v>107.69230769230769</v>
      </c>
      <c r="W36" s="80">
        <f t="shared" si="20"/>
        <v>400</v>
      </c>
      <c r="X36" s="80">
        <f t="shared" si="20"/>
        <v>600</v>
      </c>
      <c r="Y36" s="80">
        <f t="shared" si="20"/>
        <v>600</v>
      </c>
      <c r="Z36" s="103">
        <v>200</v>
      </c>
      <c r="AA36" s="67">
        <v>200</v>
      </c>
      <c r="AB36" s="107">
        <v>100</v>
      </c>
      <c r="AC36" s="65">
        <v>100</v>
      </c>
      <c r="AD36" s="67">
        <v>200</v>
      </c>
      <c r="AE36" s="107">
        <v>200</v>
      </c>
      <c r="AF36" s="65">
        <v>100</v>
      </c>
      <c r="AG36" s="67">
        <v>200</v>
      </c>
      <c r="AH36" s="107">
        <v>200</v>
      </c>
      <c r="AI36" s="65">
        <v>0</v>
      </c>
      <c r="AJ36" s="67">
        <v>0</v>
      </c>
      <c r="AK36" s="109">
        <v>100</v>
      </c>
    </row>
    <row r="37" spans="1:37" x14ac:dyDescent="0.35">
      <c r="A37" s="44" t="s">
        <v>20</v>
      </c>
      <c r="B37" s="45" t="s">
        <v>18</v>
      </c>
      <c r="C37" s="46" t="s">
        <v>15</v>
      </c>
      <c r="D37" s="71">
        <v>280</v>
      </c>
      <c r="E37" s="66">
        <v>140</v>
      </c>
      <c r="F37" s="63">
        <v>1120</v>
      </c>
      <c r="G37" s="80">
        <f t="shared" si="21"/>
        <v>489.60302457466918</v>
      </c>
      <c r="H37" s="125">
        <f t="shared" si="6"/>
        <v>304.3478260869565</v>
      </c>
      <c r="I37" s="163">
        <f t="shared" si="7"/>
        <v>1866.6666666666667</v>
      </c>
      <c r="J37" s="61">
        <f t="shared" si="8"/>
        <v>244.80151228733459</v>
      </c>
      <c r="K37" s="66">
        <f t="shared" si="9"/>
        <v>101.44927536231883</v>
      </c>
      <c r="L37" s="63">
        <f t="shared" si="10"/>
        <v>287.17948717948718</v>
      </c>
      <c r="M37" s="61">
        <f t="shared" si="11"/>
        <v>122.40075614366729</v>
      </c>
      <c r="N37" s="76">
        <f t="shared" si="12"/>
        <v>101.44927536231883</v>
      </c>
      <c r="O37" s="75">
        <f t="shared" si="13"/>
        <v>574.35897435897436</v>
      </c>
      <c r="P37" s="61">
        <f t="shared" si="14"/>
        <v>122.40075614366729</v>
      </c>
      <c r="Q37" s="76">
        <f t="shared" si="15"/>
        <v>101.44927536231883</v>
      </c>
      <c r="R37" s="75">
        <f t="shared" si="16"/>
        <v>574.35897435897436</v>
      </c>
      <c r="S37" s="61">
        <f t="shared" si="17"/>
        <v>0</v>
      </c>
      <c r="T37" s="76">
        <f t="shared" si="18"/>
        <v>0</v>
      </c>
      <c r="U37" s="75">
        <f t="shared" si="19"/>
        <v>430.76923076923077</v>
      </c>
      <c r="W37" s="80">
        <f>Z37+AC37+AF37+AI37</f>
        <v>500</v>
      </c>
      <c r="X37" s="80">
        <f t="shared" si="20"/>
        <v>300</v>
      </c>
      <c r="Y37" s="80">
        <f t="shared" si="20"/>
        <v>2300</v>
      </c>
      <c r="Z37" s="98">
        <v>300</v>
      </c>
      <c r="AA37" s="99">
        <v>100</v>
      </c>
      <c r="AB37" s="142">
        <v>400</v>
      </c>
      <c r="AC37" s="101">
        <v>100</v>
      </c>
      <c r="AD37" s="99">
        <v>100</v>
      </c>
      <c r="AE37" s="100">
        <v>700</v>
      </c>
      <c r="AF37" s="101">
        <v>100</v>
      </c>
      <c r="AG37" s="99">
        <v>100</v>
      </c>
      <c r="AH37" s="100">
        <v>700</v>
      </c>
      <c r="AI37" s="101">
        <v>0</v>
      </c>
      <c r="AJ37" s="99">
        <v>0</v>
      </c>
      <c r="AK37" s="102">
        <v>500</v>
      </c>
    </row>
    <row r="38" spans="1:37" x14ac:dyDescent="0.35">
      <c r="A38" s="44" t="s">
        <v>20</v>
      </c>
      <c r="B38" s="45" t="s">
        <v>18</v>
      </c>
      <c r="C38" s="46" t="s">
        <v>64</v>
      </c>
      <c r="D38" s="61">
        <v>280</v>
      </c>
      <c r="E38" s="66">
        <v>140</v>
      </c>
      <c r="F38" s="63">
        <v>560</v>
      </c>
      <c r="G38" s="80">
        <f t="shared" si="21"/>
        <v>489.60302457466918</v>
      </c>
      <c r="H38" s="125">
        <f t="shared" si="6"/>
        <v>304.3478260869565</v>
      </c>
      <c r="I38" s="163">
        <f t="shared" si="7"/>
        <v>933.33333333333337</v>
      </c>
      <c r="J38" s="61">
        <f t="shared" si="8"/>
        <v>244.80151228733459</v>
      </c>
      <c r="K38" s="66">
        <f t="shared" si="9"/>
        <v>101.44927536231883</v>
      </c>
      <c r="L38" s="63">
        <f t="shared" si="10"/>
        <v>143.58974358974359</v>
      </c>
      <c r="M38" s="61">
        <f t="shared" si="11"/>
        <v>122.40075614366729</v>
      </c>
      <c r="N38" s="76">
        <f t="shared" si="12"/>
        <v>101.44927536231883</v>
      </c>
      <c r="O38" s="75">
        <f t="shared" si="13"/>
        <v>287.17948717948718</v>
      </c>
      <c r="P38" s="61">
        <f t="shared" si="14"/>
        <v>122.40075614366729</v>
      </c>
      <c r="Q38" s="76">
        <f t="shared" si="15"/>
        <v>101.44927536231883</v>
      </c>
      <c r="R38" s="75">
        <f t="shared" si="16"/>
        <v>287.17948717948718</v>
      </c>
      <c r="S38" s="61">
        <f t="shared" si="17"/>
        <v>0</v>
      </c>
      <c r="T38" s="76">
        <f t="shared" si="18"/>
        <v>0</v>
      </c>
      <c r="U38" s="75">
        <f t="shared" si="19"/>
        <v>215.38461538461539</v>
      </c>
      <c r="W38" s="80">
        <f t="shared" si="20"/>
        <v>500</v>
      </c>
      <c r="X38" s="80">
        <f t="shared" si="20"/>
        <v>300</v>
      </c>
      <c r="Y38" s="80">
        <f t="shared" si="20"/>
        <v>1200</v>
      </c>
      <c r="Z38" s="103">
        <v>300</v>
      </c>
      <c r="AA38" s="67">
        <v>100</v>
      </c>
      <c r="AB38" s="64">
        <v>200</v>
      </c>
      <c r="AC38" s="65">
        <v>100</v>
      </c>
      <c r="AD38" s="67">
        <v>100</v>
      </c>
      <c r="AE38" s="148">
        <v>400</v>
      </c>
      <c r="AF38" s="65">
        <v>100</v>
      </c>
      <c r="AG38" s="67">
        <v>100</v>
      </c>
      <c r="AH38" s="148">
        <v>400</v>
      </c>
      <c r="AI38" s="65">
        <v>0</v>
      </c>
      <c r="AJ38" s="67">
        <v>0</v>
      </c>
      <c r="AK38" s="146">
        <v>200</v>
      </c>
    </row>
    <row r="39" spans="1:37" ht="18.600000000000001" thickBot="1" x14ac:dyDescent="0.4">
      <c r="A39" s="47" t="s">
        <v>20</v>
      </c>
      <c r="B39" s="48" t="s">
        <v>18</v>
      </c>
      <c r="C39" s="49" t="s">
        <v>17</v>
      </c>
      <c r="D39" s="68">
        <v>280</v>
      </c>
      <c r="E39" s="69">
        <v>140</v>
      </c>
      <c r="F39" s="70">
        <v>280</v>
      </c>
      <c r="G39" s="126">
        <f t="shared" si="21"/>
        <v>489.60302457466918</v>
      </c>
      <c r="H39" s="127">
        <f t="shared" si="6"/>
        <v>304.3478260869565</v>
      </c>
      <c r="I39" s="163">
        <f t="shared" si="7"/>
        <v>466.66666666666669</v>
      </c>
      <c r="J39" s="68">
        <f t="shared" si="8"/>
        <v>244.80151228733459</v>
      </c>
      <c r="K39" s="69">
        <f t="shared" si="9"/>
        <v>101.44927536231883</v>
      </c>
      <c r="L39" s="70">
        <f t="shared" si="10"/>
        <v>71.794871794871796</v>
      </c>
      <c r="M39" s="68">
        <f t="shared" si="11"/>
        <v>122.40075614366729</v>
      </c>
      <c r="N39" s="78">
        <f t="shared" si="12"/>
        <v>101.44927536231883</v>
      </c>
      <c r="O39" s="79">
        <f t="shared" si="13"/>
        <v>143.58974358974359</v>
      </c>
      <c r="P39" s="68">
        <f t="shared" si="14"/>
        <v>122.40075614366729</v>
      </c>
      <c r="Q39" s="78">
        <f t="shared" si="15"/>
        <v>101.44927536231883</v>
      </c>
      <c r="R39" s="79">
        <f t="shared" si="16"/>
        <v>143.58974358974359</v>
      </c>
      <c r="S39" s="68">
        <f t="shared" si="17"/>
        <v>0</v>
      </c>
      <c r="T39" s="78">
        <f t="shared" si="18"/>
        <v>0</v>
      </c>
      <c r="U39" s="79">
        <f t="shared" si="19"/>
        <v>107.69230769230769</v>
      </c>
      <c r="W39" s="80">
        <f t="shared" si="20"/>
        <v>500</v>
      </c>
      <c r="X39" s="80">
        <f t="shared" si="20"/>
        <v>300</v>
      </c>
      <c r="Y39" s="80">
        <f t="shared" si="20"/>
        <v>600</v>
      </c>
      <c r="Z39" s="105">
        <v>300</v>
      </c>
      <c r="AA39" s="106">
        <v>100</v>
      </c>
      <c r="AB39" s="107">
        <v>100</v>
      </c>
      <c r="AC39" s="108">
        <v>100</v>
      </c>
      <c r="AD39" s="106">
        <v>100</v>
      </c>
      <c r="AE39" s="107">
        <v>200</v>
      </c>
      <c r="AF39" s="108">
        <v>100</v>
      </c>
      <c r="AG39" s="106">
        <v>100</v>
      </c>
      <c r="AH39" s="107">
        <v>200</v>
      </c>
      <c r="AI39" s="108">
        <v>0</v>
      </c>
      <c r="AJ39" s="106">
        <v>0</v>
      </c>
      <c r="AK39" s="109">
        <v>100</v>
      </c>
    </row>
    <row r="40" spans="1:37" x14ac:dyDescent="0.35">
      <c r="L40" s="51"/>
    </row>
  </sheetData>
  <mergeCells count="21">
    <mergeCell ref="D4:F4"/>
    <mergeCell ref="G4:I4"/>
    <mergeCell ref="D1:I1"/>
    <mergeCell ref="J1:L1"/>
    <mergeCell ref="M1:O1"/>
    <mergeCell ref="G3:I3"/>
    <mergeCell ref="J3:L3"/>
    <mergeCell ref="M3:O3"/>
    <mergeCell ref="D2:I2"/>
    <mergeCell ref="J2:L2"/>
    <mergeCell ref="M2:O2"/>
    <mergeCell ref="P1:R1"/>
    <mergeCell ref="S1:U1"/>
    <mergeCell ref="Z11:AB11"/>
    <mergeCell ref="AC11:AE11"/>
    <mergeCell ref="AF11:AH11"/>
    <mergeCell ref="AI11:AK11"/>
    <mergeCell ref="P3:R3"/>
    <mergeCell ref="S3:U3"/>
    <mergeCell ref="P2:R2"/>
    <mergeCell ref="S2:U2"/>
  </mergeCells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75205-2496-4EC4-ADEC-86D95AE36ED4}">
  <sheetPr>
    <tabColor rgb="FFCCFFCC"/>
  </sheetPr>
  <dimension ref="A1:AK40"/>
  <sheetViews>
    <sheetView topLeftCell="A4" zoomScale="70" zoomScaleNormal="70" workbookViewId="0">
      <selection activeCell="I13" sqref="I13:I39"/>
    </sheetView>
  </sheetViews>
  <sheetFormatPr defaultRowHeight="18" x14ac:dyDescent="0.35"/>
  <cols>
    <col min="1" max="1" width="6.109375" style="3" customWidth="1"/>
    <col min="2" max="2" width="7.5546875" style="3" customWidth="1"/>
    <col min="3" max="3" width="5.88671875" style="3" customWidth="1"/>
    <col min="4" max="4" width="6.77734375" style="3" customWidth="1"/>
    <col min="5" max="5" width="6.5546875" style="3" customWidth="1"/>
    <col min="6" max="6" width="7.21875" style="3" customWidth="1"/>
    <col min="7" max="7" width="6" style="3" bestFit="1" customWidth="1"/>
    <col min="8" max="8" width="7" style="3" bestFit="1" customWidth="1"/>
    <col min="9" max="10" width="6" style="3" bestFit="1" customWidth="1"/>
    <col min="11" max="11" width="7" style="3" bestFit="1" customWidth="1"/>
    <col min="12" max="13" width="6" style="3" bestFit="1" customWidth="1"/>
    <col min="14" max="14" width="7" style="3" bestFit="1" customWidth="1"/>
    <col min="15" max="16" width="6" style="3" bestFit="1" customWidth="1"/>
    <col min="17" max="17" width="7" style="3" bestFit="1" customWidth="1"/>
    <col min="18" max="19" width="6" style="3" bestFit="1" customWidth="1"/>
    <col min="20" max="20" width="7" style="3" bestFit="1" customWidth="1"/>
    <col min="21" max="21" width="6" style="3" bestFit="1" customWidth="1"/>
    <col min="22" max="16384" width="8.88671875" style="3"/>
  </cols>
  <sheetData>
    <row r="1" spans="1:37" ht="15" customHeight="1" x14ac:dyDescent="0.35">
      <c r="A1" s="1" t="s">
        <v>0</v>
      </c>
      <c r="B1" s="1" t="s">
        <v>2</v>
      </c>
      <c r="C1" s="2" t="s">
        <v>4</v>
      </c>
      <c r="D1" s="153" t="s">
        <v>5</v>
      </c>
      <c r="E1" s="153"/>
      <c r="F1" s="153"/>
      <c r="G1" s="153"/>
      <c r="H1" s="153"/>
      <c r="I1" s="154"/>
      <c r="J1" s="152" t="s">
        <v>21</v>
      </c>
      <c r="K1" s="153"/>
      <c r="L1" s="154"/>
      <c r="M1" s="152" t="s">
        <v>24</v>
      </c>
      <c r="N1" s="153"/>
      <c r="O1" s="154"/>
      <c r="P1" s="152" t="s">
        <v>26</v>
      </c>
      <c r="Q1" s="153"/>
      <c r="R1" s="154"/>
      <c r="S1" s="152" t="s">
        <v>28</v>
      </c>
      <c r="T1" s="153"/>
      <c r="U1" s="154"/>
    </row>
    <row r="2" spans="1:37" ht="18.600000000000001" thickBot="1" x14ac:dyDescent="0.4">
      <c r="A2" s="4" t="s">
        <v>1</v>
      </c>
      <c r="B2" s="4" t="s">
        <v>3</v>
      </c>
      <c r="C2" s="5" t="s">
        <v>3</v>
      </c>
      <c r="D2" s="159" t="s">
        <v>6</v>
      </c>
      <c r="E2" s="159"/>
      <c r="F2" s="159"/>
      <c r="G2" s="159"/>
      <c r="H2" s="159"/>
      <c r="I2" s="160"/>
      <c r="J2" s="158" t="s">
        <v>22</v>
      </c>
      <c r="K2" s="159"/>
      <c r="L2" s="160"/>
      <c r="M2" s="158" t="s">
        <v>25</v>
      </c>
      <c r="N2" s="159"/>
      <c r="O2" s="160"/>
      <c r="P2" s="158" t="s">
        <v>27</v>
      </c>
      <c r="Q2" s="159"/>
      <c r="R2" s="160"/>
      <c r="S2" s="158" t="s">
        <v>29</v>
      </c>
      <c r="T2" s="159"/>
      <c r="U2" s="160"/>
    </row>
    <row r="3" spans="1:37" ht="18.600000000000001" thickBot="1" x14ac:dyDescent="0.4">
      <c r="A3" s="6"/>
      <c r="B3" s="6"/>
      <c r="C3" s="7"/>
      <c r="D3" s="8" t="s">
        <v>30</v>
      </c>
      <c r="E3" s="9"/>
      <c r="F3" s="10"/>
      <c r="G3" s="155" t="s">
        <v>32</v>
      </c>
      <c r="H3" s="156"/>
      <c r="I3" s="157"/>
      <c r="J3" s="158" t="s">
        <v>23</v>
      </c>
      <c r="K3" s="159"/>
      <c r="L3" s="160"/>
      <c r="M3" s="158" t="s">
        <v>23</v>
      </c>
      <c r="N3" s="159"/>
      <c r="O3" s="160"/>
      <c r="P3" s="158" t="s">
        <v>23</v>
      </c>
      <c r="Q3" s="159"/>
      <c r="R3" s="160"/>
      <c r="S3" s="158" t="s">
        <v>23</v>
      </c>
      <c r="T3" s="159"/>
      <c r="U3" s="160"/>
    </row>
    <row r="4" spans="1:37" ht="18.600000000000001" thickBot="1" x14ac:dyDescent="0.4">
      <c r="A4" s="6"/>
      <c r="B4" s="6"/>
      <c r="C4" s="7"/>
      <c r="D4" s="155" t="s">
        <v>31</v>
      </c>
      <c r="E4" s="156"/>
      <c r="F4" s="157"/>
      <c r="G4" s="155" t="s">
        <v>31</v>
      </c>
      <c r="H4" s="156"/>
      <c r="I4" s="157"/>
      <c r="J4" s="4"/>
      <c r="K4" s="11"/>
      <c r="L4" s="12"/>
      <c r="M4" s="4"/>
      <c r="N4" s="11"/>
      <c r="O4" s="12"/>
      <c r="P4" s="4"/>
      <c r="Q4" s="11"/>
      <c r="R4" s="12"/>
      <c r="S4" s="4"/>
      <c r="T4" s="11"/>
      <c r="U4" s="12"/>
    </row>
    <row r="5" spans="1:37" ht="18.600000000000001" thickBot="1" x14ac:dyDescent="0.4">
      <c r="A5" s="13"/>
      <c r="B5" s="13"/>
      <c r="C5" s="14"/>
      <c r="D5" s="15" t="s">
        <v>7</v>
      </c>
      <c r="E5" s="15" t="s">
        <v>8</v>
      </c>
      <c r="F5" s="15" t="s">
        <v>9</v>
      </c>
      <c r="G5" s="16" t="s">
        <v>10</v>
      </c>
      <c r="H5" s="15" t="s">
        <v>11</v>
      </c>
      <c r="I5" s="162" t="s">
        <v>47</v>
      </c>
      <c r="J5" s="18" t="s">
        <v>10</v>
      </c>
      <c r="K5" s="15" t="s">
        <v>11</v>
      </c>
      <c r="L5" s="162" t="s">
        <v>47</v>
      </c>
      <c r="M5" s="18" t="s">
        <v>10</v>
      </c>
      <c r="N5" s="15" t="s">
        <v>11</v>
      </c>
      <c r="O5" s="162" t="s">
        <v>47</v>
      </c>
      <c r="P5" s="18" t="s">
        <v>10</v>
      </c>
      <c r="Q5" s="15" t="s">
        <v>11</v>
      </c>
      <c r="R5" s="162" t="s">
        <v>47</v>
      </c>
      <c r="S5" s="18" t="s">
        <v>10</v>
      </c>
      <c r="T5" s="15" t="s">
        <v>11</v>
      </c>
      <c r="U5" s="162" t="s">
        <v>47</v>
      </c>
    </row>
    <row r="6" spans="1:37" ht="18.600000000000001" thickBot="1" x14ac:dyDescent="0.4">
      <c r="A6" s="13"/>
      <c r="B6" s="13" t="s">
        <v>33</v>
      </c>
      <c r="C6" s="50"/>
      <c r="D6" s="52">
        <v>50</v>
      </c>
      <c r="E6" s="52">
        <v>25</v>
      </c>
      <c r="F6" s="52">
        <v>25</v>
      </c>
      <c r="G6" s="53"/>
      <c r="H6" s="60">
        <f>0.15*400</f>
        <v>60</v>
      </c>
      <c r="I6" s="17"/>
      <c r="J6" s="18">
        <v>200</v>
      </c>
      <c r="K6" s="52">
        <v>120</v>
      </c>
      <c r="L6" s="19">
        <v>120</v>
      </c>
      <c r="M6" s="18">
        <v>120</v>
      </c>
      <c r="N6" s="52">
        <v>120</v>
      </c>
      <c r="O6" s="19">
        <v>320</v>
      </c>
      <c r="P6" s="18">
        <v>160</v>
      </c>
      <c r="Q6" s="52">
        <v>160</v>
      </c>
      <c r="R6" s="19">
        <v>280</v>
      </c>
      <c r="S6" s="18">
        <v>0</v>
      </c>
      <c r="T6" s="52">
        <v>0</v>
      </c>
      <c r="U6" s="19">
        <v>120</v>
      </c>
    </row>
    <row r="7" spans="1:37" ht="18.600000000000001" thickBot="1" x14ac:dyDescent="0.4">
      <c r="A7" s="13"/>
      <c r="B7" s="13"/>
      <c r="C7" s="50"/>
      <c r="D7" s="55">
        <f>SUM(J7,M7,P7,S7)</f>
        <v>2.4000000000000004</v>
      </c>
      <c r="E7" s="55">
        <f>SUM(K7,N7,Q7,T7)</f>
        <v>2</v>
      </c>
      <c r="F7" s="55">
        <f>SUM(L7,O7,R7,U7)</f>
        <v>4.2</v>
      </c>
      <c r="G7" s="54"/>
      <c r="H7" s="55"/>
      <c r="I7" s="56"/>
      <c r="J7" s="82">
        <f>J6/200</f>
        <v>1</v>
      </c>
      <c r="K7" s="83">
        <f t="shared" ref="K7:U7" si="0">K6/200</f>
        <v>0.6</v>
      </c>
      <c r="L7" s="84">
        <f t="shared" si="0"/>
        <v>0.6</v>
      </c>
      <c r="M7" s="82">
        <f t="shared" si="0"/>
        <v>0.6</v>
      </c>
      <c r="N7" s="83">
        <f t="shared" si="0"/>
        <v>0.6</v>
      </c>
      <c r="O7" s="84">
        <f t="shared" si="0"/>
        <v>1.6</v>
      </c>
      <c r="P7" s="82">
        <f t="shared" si="0"/>
        <v>0.8</v>
      </c>
      <c r="Q7" s="83">
        <f t="shared" si="0"/>
        <v>0.8</v>
      </c>
      <c r="R7" s="84">
        <f t="shared" si="0"/>
        <v>1.4</v>
      </c>
      <c r="S7" s="82">
        <f t="shared" si="0"/>
        <v>0</v>
      </c>
      <c r="T7" s="83">
        <f t="shared" si="0"/>
        <v>0</v>
      </c>
      <c r="U7" s="84">
        <f t="shared" si="0"/>
        <v>0.6</v>
      </c>
    </row>
    <row r="8" spans="1:37" ht="18.600000000000001" thickBot="1" x14ac:dyDescent="0.4">
      <c r="A8" s="13"/>
      <c r="B8" s="13"/>
      <c r="C8" s="50"/>
      <c r="D8" s="55">
        <f>SUM(J8,M8,P8,S8)</f>
        <v>3</v>
      </c>
      <c r="E8" s="52">
        <f t="shared" ref="E8:F8" si="1">SUM(K8,N8,Q8,T8)</f>
        <v>3</v>
      </c>
      <c r="F8" s="52">
        <f t="shared" si="1"/>
        <v>6</v>
      </c>
      <c r="G8" s="54"/>
      <c r="H8" s="55"/>
      <c r="I8" s="56"/>
      <c r="J8" s="57">
        <v>1</v>
      </c>
      <c r="K8" s="55">
        <v>1</v>
      </c>
      <c r="L8" s="58">
        <v>1</v>
      </c>
      <c r="M8" s="57">
        <v>1</v>
      </c>
      <c r="N8" s="55">
        <v>1</v>
      </c>
      <c r="O8" s="58">
        <v>2</v>
      </c>
      <c r="P8" s="57">
        <v>1</v>
      </c>
      <c r="Q8" s="55">
        <v>1</v>
      </c>
      <c r="R8" s="58">
        <v>2</v>
      </c>
      <c r="S8" s="57">
        <v>0</v>
      </c>
      <c r="T8" s="55">
        <v>0</v>
      </c>
      <c r="U8" s="58">
        <v>1</v>
      </c>
    </row>
    <row r="9" spans="1:37" ht="18.600000000000001" thickBot="1" x14ac:dyDescent="0.4">
      <c r="A9" s="13"/>
      <c r="B9" s="13" t="s">
        <v>34</v>
      </c>
      <c r="C9" s="50"/>
      <c r="D9" s="52">
        <v>50</v>
      </c>
      <c r="E9" s="52">
        <v>50</v>
      </c>
      <c r="F9" s="52">
        <v>50</v>
      </c>
      <c r="G9" s="59">
        <f>0.2*500</f>
        <v>100</v>
      </c>
      <c r="H9" s="60">
        <f>0.1*500</f>
        <v>50</v>
      </c>
      <c r="I9" s="17"/>
      <c r="J9" s="18">
        <v>200</v>
      </c>
      <c r="K9" s="52">
        <v>200</v>
      </c>
      <c r="L9" s="19">
        <v>200</v>
      </c>
      <c r="M9" s="18">
        <v>200</v>
      </c>
      <c r="N9" s="52">
        <v>200</v>
      </c>
      <c r="O9" s="19">
        <v>350</v>
      </c>
      <c r="P9" s="18">
        <v>200</v>
      </c>
      <c r="Q9" s="52">
        <v>200</v>
      </c>
      <c r="R9" s="19">
        <v>400</v>
      </c>
      <c r="S9" s="18">
        <v>0</v>
      </c>
      <c r="T9" s="52">
        <v>0</v>
      </c>
      <c r="U9" s="19">
        <v>240</v>
      </c>
    </row>
    <row r="10" spans="1:37" ht="18.600000000000001" thickBot="1" x14ac:dyDescent="0.4">
      <c r="A10" s="13"/>
      <c r="B10" s="13"/>
      <c r="C10" s="50"/>
      <c r="D10" s="55">
        <f>SUM(J10,M10,P10,S10)</f>
        <v>3</v>
      </c>
      <c r="E10" s="55">
        <f>SUM(K10,N10,Q10,T10)</f>
        <v>3</v>
      </c>
      <c r="F10" s="55">
        <f>SUM(L10,O10,R10,U10)</f>
        <v>5.95</v>
      </c>
      <c r="G10" s="86">
        <f>AVERAGE(D8,D11)</f>
        <v>3</v>
      </c>
      <c r="H10" s="86">
        <f>AVERAGE(E8,E11)</f>
        <v>3</v>
      </c>
      <c r="I10" s="87">
        <f>AVERAGE(F8,F11)</f>
        <v>6.5</v>
      </c>
      <c r="J10" s="82">
        <f t="shared" ref="J10:U10" si="2">J9/200</f>
        <v>1</v>
      </c>
      <c r="K10" s="83">
        <f t="shared" si="2"/>
        <v>1</v>
      </c>
      <c r="L10" s="84">
        <f t="shared" si="2"/>
        <v>1</v>
      </c>
      <c r="M10" s="82">
        <f t="shared" si="2"/>
        <v>1</v>
      </c>
      <c r="N10" s="83">
        <f t="shared" si="2"/>
        <v>1</v>
      </c>
      <c r="O10" s="84">
        <f t="shared" si="2"/>
        <v>1.75</v>
      </c>
      <c r="P10" s="82">
        <f>P9/200</f>
        <v>1</v>
      </c>
      <c r="Q10" s="83">
        <f t="shared" si="2"/>
        <v>1</v>
      </c>
      <c r="R10" s="84">
        <f t="shared" si="2"/>
        <v>2</v>
      </c>
      <c r="S10" s="82">
        <f t="shared" si="2"/>
        <v>0</v>
      </c>
      <c r="T10" s="83">
        <f t="shared" si="2"/>
        <v>0</v>
      </c>
      <c r="U10" s="84">
        <f t="shared" si="2"/>
        <v>1.2</v>
      </c>
    </row>
    <row r="11" spans="1:37" ht="18.600000000000001" thickBot="1" x14ac:dyDescent="0.4">
      <c r="A11" s="13"/>
      <c r="B11" s="13"/>
      <c r="C11" s="50"/>
      <c r="D11" s="55">
        <f>SUM(J11,M11,P11,S11)</f>
        <v>3</v>
      </c>
      <c r="E11" s="52">
        <f t="shared" ref="E11:F11" si="3">SUM(K11,N11,Q11,T11)</f>
        <v>3</v>
      </c>
      <c r="F11" s="52">
        <f t="shared" si="3"/>
        <v>7</v>
      </c>
      <c r="G11" s="54"/>
      <c r="H11" s="55"/>
      <c r="I11" s="56"/>
      <c r="J11" s="57">
        <v>1</v>
      </c>
      <c r="K11" s="55">
        <v>1</v>
      </c>
      <c r="L11" s="58">
        <v>1</v>
      </c>
      <c r="M11" s="57">
        <v>1</v>
      </c>
      <c r="N11" s="55">
        <v>1</v>
      </c>
      <c r="O11" s="58">
        <v>2</v>
      </c>
      <c r="P11" s="57">
        <v>1</v>
      </c>
      <c r="Q11" s="55">
        <v>1</v>
      </c>
      <c r="R11" s="58">
        <v>2</v>
      </c>
      <c r="S11" s="57">
        <v>0</v>
      </c>
      <c r="T11" s="55">
        <v>0</v>
      </c>
      <c r="U11" s="58">
        <v>2</v>
      </c>
      <c r="W11" s="24" t="s">
        <v>61</v>
      </c>
      <c r="Z11" s="152" t="s">
        <v>36</v>
      </c>
      <c r="AA11" s="153"/>
      <c r="AB11" s="154"/>
      <c r="AC11" s="152" t="s">
        <v>37</v>
      </c>
      <c r="AD11" s="153"/>
      <c r="AE11" s="154"/>
      <c r="AF11" s="152" t="s">
        <v>39</v>
      </c>
      <c r="AG11" s="153"/>
      <c r="AH11" s="154"/>
      <c r="AI11" s="152" t="s">
        <v>38</v>
      </c>
      <c r="AJ11" s="153"/>
      <c r="AK11" s="154"/>
    </row>
    <row r="12" spans="1:37" ht="18.600000000000001" thickBot="1" x14ac:dyDescent="0.4">
      <c r="A12" s="20"/>
      <c r="B12" s="88" t="s">
        <v>35</v>
      </c>
      <c r="C12" s="81"/>
      <c r="D12" s="81"/>
      <c r="E12" s="81"/>
      <c r="F12" s="81"/>
      <c r="G12" s="86">
        <f>SUM(J12,M12,P12,S12)</f>
        <v>4</v>
      </c>
      <c r="H12" s="86">
        <f>SUM(K12,N12,Q12,T12)</f>
        <v>3</v>
      </c>
      <c r="I12" s="87">
        <f>SUM(L12,O12,R12,U12)</f>
        <v>6.5</v>
      </c>
      <c r="J12" s="131">
        <v>2</v>
      </c>
      <c r="K12" s="89">
        <f>AVERAGE(K8,K11)</f>
        <v>1</v>
      </c>
      <c r="L12" s="112">
        <v>1</v>
      </c>
      <c r="M12" s="91">
        <f>AVERAGE(M8,M11)</f>
        <v>1</v>
      </c>
      <c r="N12" s="113">
        <v>1</v>
      </c>
      <c r="O12" s="92">
        <f>AVERAGE(O8,O11)</f>
        <v>2</v>
      </c>
      <c r="P12" s="93">
        <f>AVERAGE(P8,P11)</f>
        <v>1</v>
      </c>
      <c r="Q12" s="86">
        <f>AVERAGE(Q8,Q11)</f>
        <v>1</v>
      </c>
      <c r="R12" s="87">
        <f>AVERAGE(R8,R11)</f>
        <v>2</v>
      </c>
      <c r="S12" s="94">
        <f t="shared" ref="S12:U12" si="4">AVERAGE(S8,S11)</f>
        <v>0</v>
      </c>
      <c r="T12" s="95">
        <f t="shared" si="4"/>
        <v>0</v>
      </c>
      <c r="U12" s="96">
        <f t="shared" si="4"/>
        <v>1.5</v>
      </c>
      <c r="Z12" s="110" t="s">
        <v>10</v>
      </c>
      <c r="AA12" s="110" t="s">
        <v>11</v>
      </c>
      <c r="AB12" s="162" t="s">
        <v>47</v>
      </c>
      <c r="AC12" s="110" t="s">
        <v>10</v>
      </c>
      <c r="AD12" s="110" t="s">
        <v>11</v>
      </c>
      <c r="AE12" s="162" t="s">
        <v>47</v>
      </c>
      <c r="AF12" s="110" t="s">
        <v>10</v>
      </c>
      <c r="AG12" s="110" t="s">
        <v>11</v>
      </c>
      <c r="AH12" s="162" t="s">
        <v>47</v>
      </c>
      <c r="AI12" s="110" t="s">
        <v>10</v>
      </c>
      <c r="AJ12" s="110" t="s">
        <v>11</v>
      </c>
      <c r="AK12" s="162" t="s">
        <v>47</v>
      </c>
    </row>
    <row r="13" spans="1:37" x14ac:dyDescent="0.35">
      <c r="A13" s="21" t="s">
        <v>13</v>
      </c>
      <c r="B13" s="22" t="s">
        <v>14</v>
      </c>
      <c r="C13" s="21" t="s">
        <v>15</v>
      </c>
      <c r="D13" s="61">
        <v>800</v>
      </c>
      <c r="E13" s="62">
        <v>480</v>
      </c>
      <c r="F13" s="63">
        <v>640</v>
      </c>
      <c r="G13" s="80">
        <f>(D13-(H13*(18/100)))*(100/46)</f>
        <v>1330.8128544423439</v>
      </c>
      <c r="H13" s="123">
        <f>E13*(100/46)</f>
        <v>1043.4782608695652</v>
      </c>
      <c r="I13" s="163">
        <f>F13*(100/60)</f>
        <v>1066.6666666666667</v>
      </c>
      <c r="J13" s="61">
        <f>(G13*$J$12)/$G$12</f>
        <v>665.40642722117195</v>
      </c>
      <c r="K13" s="62">
        <f>(H13*$K$12)/$H$12</f>
        <v>347.82608695652175</v>
      </c>
      <c r="L13" s="63">
        <f>(I13*$L$12)/$I$12</f>
        <v>164.10256410256412</v>
      </c>
      <c r="M13" s="61">
        <f>(G13*$M$12)/$G$12</f>
        <v>332.70321361058598</v>
      </c>
      <c r="N13" s="74">
        <f>(H13*$N$12)/$H$12</f>
        <v>347.82608695652175</v>
      </c>
      <c r="O13" s="75">
        <f>(I13*$O$12)/$I$12</f>
        <v>328.20512820512823</v>
      </c>
      <c r="P13" s="61">
        <f>(G13*$P$12)/$G$12</f>
        <v>332.70321361058598</v>
      </c>
      <c r="Q13" s="74">
        <f>(H13*$Q$12)/$H$12</f>
        <v>347.82608695652175</v>
      </c>
      <c r="R13" s="75">
        <f>(I13*$R$12)/$I$12</f>
        <v>328.20512820512823</v>
      </c>
      <c r="S13" s="61">
        <f>(G13*$S$12)/$G$12</f>
        <v>0</v>
      </c>
      <c r="T13" s="74">
        <f>(H13*$T$12)/$H$12</f>
        <v>0</v>
      </c>
      <c r="U13" s="75">
        <f>(I13*$U$12)/$I$12</f>
        <v>246.15384615384616</v>
      </c>
      <c r="W13" s="80">
        <f t="shared" ref="W13:Y15" si="5">Z13+AC13+AF13+AI13</f>
        <v>1300</v>
      </c>
      <c r="X13" s="80">
        <f t="shared" si="5"/>
        <v>1100</v>
      </c>
      <c r="Y13" s="80">
        <f t="shared" si="5"/>
        <v>1400</v>
      </c>
      <c r="Z13" s="98">
        <v>700</v>
      </c>
      <c r="AA13" s="99">
        <v>300</v>
      </c>
      <c r="AB13" s="142">
        <v>300</v>
      </c>
      <c r="AC13" s="143">
        <v>300</v>
      </c>
      <c r="AD13" s="139">
        <v>400</v>
      </c>
      <c r="AE13" s="100">
        <v>400</v>
      </c>
      <c r="AF13" s="101">
        <v>300</v>
      </c>
      <c r="AG13" s="139">
        <v>400</v>
      </c>
      <c r="AH13" s="100">
        <v>400</v>
      </c>
      <c r="AI13" s="101">
        <v>0</v>
      </c>
      <c r="AJ13" s="99">
        <v>0</v>
      </c>
      <c r="AK13" s="102">
        <v>300</v>
      </c>
    </row>
    <row r="14" spans="1:37" x14ac:dyDescent="0.35">
      <c r="A14" s="23" t="s">
        <v>13</v>
      </c>
      <c r="B14" s="22" t="s">
        <v>14</v>
      </c>
      <c r="C14" s="23" t="s">
        <v>64</v>
      </c>
      <c r="D14" s="61">
        <v>800</v>
      </c>
      <c r="E14" s="66">
        <v>480</v>
      </c>
      <c r="F14" s="63">
        <v>320</v>
      </c>
      <c r="G14" s="80">
        <f>(D14-(H14*(18/100)))*(100/46)</f>
        <v>1330.8128544423439</v>
      </c>
      <c r="H14" s="125">
        <f t="shared" ref="H14:H39" si="6">E14*(100/46)</f>
        <v>1043.4782608695652</v>
      </c>
      <c r="I14" s="163">
        <f t="shared" ref="I14:I39" si="7">F14*(100/60)</f>
        <v>533.33333333333337</v>
      </c>
      <c r="J14" s="61">
        <f t="shared" ref="J14:J39" si="8">(G14*$J$12)/$G$12</f>
        <v>665.40642722117195</v>
      </c>
      <c r="K14" s="66">
        <f t="shared" ref="K14:K39" si="9">(H14*$K$12)/$H$12</f>
        <v>347.82608695652175</v>
      </c>
      <c r="L14" s="63">
        <f t="shared" ref="L14:L39" si="10">(I14*$L$12)/$I$12</f>
        <v>82.051282051282058</v>
      </c>
      <c r="M14" s="61">
        <f t="shared" ref="M14:M39" si="11">(G14*$M$12)/$G$12</f>
        <v>332.70321361058598</v>
      </c>
      <c r="N14" s="76">
        <f t="shared" ref="N14:N39" si="12">(H14*$N$12)/$H$12</f>
        <v>347.82608695652175</v>
      </c>
      <c r="O14" s="75">
        <f t="shared" ref="O14:O39" si="13">(I14*$O$12)/$I$12</f>
        <v>164.10256410256412</v>
      </c>
      <c r="P14" s="61">
        <f t="shared" ref="P14:P39" si="14">(G14*$P$12)/$G$12</f>
        <v>332.70321361058598</v>
      </c>
      <c r="Q14" s="76">
        <f t="shared" ref="Q14:Q39" si="15">(H14*$Q$12)/$H$12</f>
        <v>347.82608695652175</v>
      </c>
      <c r="R14" s="75">
        <f t="shared" ref="R14:R39" si="16">(I14*$R$12)/$I$12</f>
        <v>164.10256410256412</v>
      </c>
      <c r="S14" s="61">
        <f t="shared" ref="S14:S39" si="17">(G14*$S$12)/$G$12</f>
        <v>0</v>
      </c>
      <c r="T14" s="76">
        <f t="shared" ref="T14:T39" si="18">(H14*$T$12)/$H$12</f>
        <v>0</v>
      </c>
      <c r="U14" s="75">
        <f t="shared" ref="U14:U39" si="19">(I14*$U$12)/$I$12</f>
        <v>123.07692307692308</v>
      </c>
      <c r="W14" s="80">
        <f t="shared" si="5"/>
        <v>1300</v>
      </c>
      <c r="X14" s="80">
        <f t="shared" si="5"/>
        <v>1100</v>
      </c>
      <c r="Y14" s="80">
        <f t="shared" si="5"/>
        <v>800</v>
      </c>
      <c r="Z14" s="103">
        <v>700</v>
      </c>
      <c r="AA14" s="67">
        <v>300</v>
      </c>
      <c r="AB14" s="148">
        <v>200</v>
      </c>
      <c r="AC14" s="138">
        <v>300</v>
      </c>
      <c r="AD14" s="140">
        <v>400</v>
      </c>
      <c r="AE14" s="64">
        <v>200</v>
      </c>
      <c r="AF14" s="65">
        <v>300</v>
      </c>
      <c r="AG14" s="140">
        <v>400</v>
      </c>
      <c r="AH14" s="64">
        <v>200</v>
      </c>
      <c r="AI14" s="65">
        <v>0</v>
      </c>
      <c r="AJ14" s="67">
        <v>0</v>
      </c>
      <c r="AK14" s="104">
        <v>200</v>
      </c>
    </row>
    <row r="15" spans="1:37" s="24" customFormat="1" ht="18.600000000000001" thickBot="1" x14ac:dyDescent="0.4">
      <c r="A15" s="23" t="s">
        <v>13</v>
      </c>
      <c r="B15" s="22" t="s">
        <v>14</v>
      </c>
      <c r="C15" s="23" t="s">
        <v>17</v>
      </c>
      <c r="D15" s="68">
        <v>800</v>
      </c>
      <c r="E15" s="69">
        <v>480</v>
      </c>
      <c r="F15" s="70">
        <v>160</v>
      </c>
      <c r="G15" s="80">
        <f>(D15-(H15*(18/100)))*(100/46)</f>
        <v>1330.8128544423439</v>
      </c>
      <c r="H15" s="125">
        <f t="shared" si="6"/>
        <v>1043.4782608695652</v>
      </c>
      <c r="I15" s="163">
        <f t="shared" si="7"/>
        <v>266.66666666666669</v>
      </c>
      <c r="J15" s="61">
        <f t="shared" si="8"/>
        <v>665.40642722117195</v>
      </c>
      <c r="K15" s="66">
        <f t="shared" si="9"/>
        <v>347.82608695652175</v>
      </c>
      <c r="L15" s="63">
        <f t="shared" si="10"/>
        <v>41.025641025641029</v>
      </c>
      <c r="M15" s="61">
        <f t="shared" si="11"/>
        <v>332.70321361058598</v>
      </c>
      <c r="N15" s="76">
        <f t="shared" si="12"/>
        <v>347.82608695652175</v>
      </c>
      <c r="O15" s="75">
        <f t="shared" si="13"/>
        <v>82.051282051282058</v>
      </c>
      <c r="P15" s="61">
        <f t="shared" si="14"/>
        <v>332.70321361058598</v>
      </c>
      <c r="Q15" s="76">
        <f t="shared" si="15"/>
        <v>347.82608695652175</v>
      </c>
      <c r="R15" s="75">
        <f t="shared" si="16"/>
        <v>82.051282051282058</v>
      </c>
      <c r="S15" s="61">
        <f t="shared" si="17"/>
        <v>0</v>
      </c>
      <c r="T15" s="76">
        <f t="shared" si="18"/>
        <v>0</v>
      </c>
      <c r="U15" s="75">
        <f t="shared" si="19"/>
        <v>61.53846153846154</v>
      </c>
      <c r="W15" s="80">
        <f t="shared" si="5"/>
        <v>1300</v>
      </c>
      <c r="X15" s="80">
        <f t="shared" si="5"/>
        <v>1100</v>
      </c>
      <c r="Y15" s="80">
        <f t="shared" si="5"/>
        <v>400</v>
      </c>
      <c r="Z15" s="105">
        <v>700</v>
      </c>
      <c r="AA15" s="106">
        <v>300</v>
      </c>
      <c r="AB15" s="107">
        <v>100</v>
      </c>
      <c r="AC15" s="144">
        <v>300</v>
      </c>
      <c r="AD15" s="141">
        <v>400</v>
      </c>
      <c r="AE15" s="107">
        <v>100</v>
      </c>
      <c r="AF15" s="108">
        <v>300</v>
      </c>
      <c r="AG15" s="141">
        <v>400</v>
      </c>
      <c r="AH15" s="107">
        <v>100</v>
      </c>
      <c r="AI15" s="108">
        <v>0</v>
      </c>
      <c r="AJ15" s="106">
        <v>0</v>
      </c>
      <c r="AK15" s="109">
        <v>100</v>
      </c>
    </row>
    <row r="16" spans="1:37" x14ac:dyDescent="0.35">
      <c r="A16" s="25" t="s">
        <v>13</v>
      </c>
      <c r="B16" s="26" t="s">
        <v>63</v>
      </c>
      <c r="C16" s="25" t="s">
        <v>15</v>
      </c>
      <c r="D16" s="71">
        <v>800</v>
      </c>
      <c r="E16" s="62">
        <v>240</v>
      </c>
      <c r="F16" s="72">
        <v>640</v>
      </c>
      <c r="G16" s="80">
        <f>(D16-(H16*(18/100)))*(100/46)</f>
        <v>1534.9716446124762</v>
      </c>
      <c r="H16" s="125">
        <f t="shared" si="6"/>
        <v>521.73913043478262</v>
      </c>
      <c r="I16" s="163">
        <f t="shared" si="7"/>
        <v>1066.6666666666667</v>
      </c>
      <c r="J16" s="61">
        <f t="shared" si="8"/>
        <v>767.48582230623811</v>
      </c>
      <c r="K16" s="66">
        <f t="shared" si="9"/>
        <v>173.91304347826087</v>
      </c>
      <c r="L16" s="63">
        <f t="shared" si="10"/>
        <v>164.10256410256412</v>
      </c>
      <c r="M16" s="61">
        <f t="shared" si="11"/>
        <v>383.74291115311905</v>
      </c>
      <c r="N16" s="76">
        <f t="shared" si="12"/>
        <v>173.91304347826087</v>
      </c>
      <c r="O16" s="75">
        <f t="shared" si="13"/>
        <v>328.20512820512823</v>
      </c>
      <c r="P16" s="61">
        <f t="shared" si="14"/>
        <v>383.74291115311905</v>
      </c>
      <c r="Q16" s="76">
        <f t="shared" si="15"/>
        <v>173.91304347826087</v>
      </c>
      <c r="R16" s="75">
        <f t="shared" si="16"/>
        <v>328.20512820512823</v>
      </c>
      <c r="S16" s="61">
        <f t="shared" si="17"/>
        <v>0</v>
      </c>
      <c r="T16" s="76">
        <f t="shared" si="18"/>
        <v>0</v>
      </c>
      <c r="U16" s="75">
        <f t="shared" si="19"/>
        <v>246.15384615384616</v>
      </c>
      <c r="W16" s="80">
        <f>Z16+AC16+AF16+AI16</f>
        <v>1600</v>
      </c>
      <c r="X16" s="80">
        <f>AA16+AD16+AG16+AJ16</f>
        <v>600</v>
      </c>
      <c r="Y16" s="80">
        <f t="shared" ref="W16:Y39" si="20">AB16+AE16+AH16+AK16</f>
        <v>1400</v>
      </c>
      <c r="Z16" s="103">
        <v>800</v>
      </c>
      <c r="AA16" s="67">
        <v>200</v>
      </c>
      <c r="AB16" s="142">
        <v>300</v>
      </c>
      <c r="AC16" s="65">
        <v>400</v>
      </c>
      <c r="AD16" s="67">
        <v>200</v>
      </c>
      <c r="AE16" s="100">
        <v>400</v>
      </c>
      <c r="AF16" s="65">
        <v>400</v>
      </c>
      <c r="AG16" s="67">
        <v>200</v>
      </c>
      <c r="AH16" s="100">
        <v>400</v>
      </c>
      <c r="AI16" s="65">
        <v>0</v>
      </c>
      <c r="AJ16" s="67">
        <v>0</v>
      </c>
      <c r="AK16" s="102">
        <v>300</v>
      </c>
    </row>
    <row r="17" spans="1:37" x14ac:dyDescent="0.35">
      <c r="A17" s="25" t="s">
        <v>13</v>
      </c>
      <c r="B17" s="26" t="s">
        <v>63</v>
      </c>
      <c r="C17" s="25" t="s">
        <v>64</v>
      </c>
      <c r="D17" s="61">
        <v>800</v>
      </c>
      <c r="E17" s="66">
        <v>240</v>
      </c>
      <c r="F17" s="63">
        <v>320</v>
      </c>
      <c r="G17" s="80">
        <f>(D17-(H17*(18/100)))*(100/46)</f>
        <v>1534.9716446124762</v>
      </c>
      <c r="H17" s="125">
        <f t="shared" si="6"/>
        <v>521.73913043478262</v>
      </c>
      <c r="I17" s="163">
        <f t="shared" si="7"/>
        <v>533.33333333333337</v>
      </c>
      <c r="J17" s="61">
        <f t="shared" si="8"/>
        <v>767.48582230623811</v>
      </c>
      <c r="K17" s="66">
        <f t="shared" si="9"/>
        <v>173.91304347826087</v>
      </c>
      <c r="L17" s="63">
        <f t="shared" si="10"/>
        <v>82.051282051282058</v>
      </c>
      <c r="M17" s="61">
        <f t="shared" si="11"/>
        <v>383.74291115311905</v>
      </c>
      <c r="N17" s="76">
        <f t="shared" si="12"/>
        <v>173.91304347826087</v>
      </c>
      <c r="O17" s="75">
        <f t="shared" si="13"/>
        <v>164.10256410256412</v>
      </c>
      <c r="P17" s="61">
        <f t="shared" si="14"/>
        <v>383.74291115311905</v>
      </c>
      <c r="Q17" s="76">
        <f t="shared" si="15"/>
        <v>173.91304347826087</v>
      </c>
      <c r="R17" s="75">
        <f t="shared" si="16"/>
        <v>164.10256410256412</v>
      </c>
      <c r="S17" s="61">
        <f t="shared" si="17"/>
        <v>0</v>
      </c>
      <c r="T17" s="76">
        <f t="shared" si="18"/>
        <v>0</v>
      </c>
      <c r="U17" s="75">
        <f t="shared" si="19"/>
        <v>123.07692307692308</v>
      </c>
      <c r="W17" s="80">
        <f t="shared" si="20"/>
        <v>1600</v>
      </c>
      <c r="X17" s="80">
        <f t="shared" si="20"/>
        <v>600</v>
      </c>
      <c r="Y17" s="80">
        <f t="shared" si="20"/>
        <v>800</v>
      </c>
      <c r="Z17" s="103">
        <v>800</v>
      </c>
      <c r="AA17" s="67">
        <v>200</v>
      </c>
      <c r="AB17" s="148">
        <v>200</v>
      </c>
      <c r="AC17" s="65">
        <v>400</v>
      </c>
      <c r="AD17" s="67">
        <v>200</v>
      </c>
      <c r="AE17" s="64">
        <v>200</v>
      </c>
      <c r="AF17" s="65">
        <v>400</v>
      </c>
      <c r="AG17" s="67">
        <v>200</v>
      </c>
      <c r="AH17" s="64">
        <v>200</v>
      </c>
      <c r="AI17" s="65">
        <v>0</v>
      </c>
      <c r="AJ17" s="67">
        <v>0</v>
      </c>
      <c r="AK17" s="104">
        <v>200</v>
      </c>
    </row>
    <row r="18" spans="1:37" ht="18.600000000000001" thickBot="1" x14ac:dyDescent="0.4">
      <c r="A18" s="25" t="s">
        <v>13</v>
      </c>
      <c r="B18" s="26" t="s">
        <v>63</v>
      </c>
      <c r="C18" s="25" t="s">
        <v>17</v>
      </c>
      <c r="D18" s="68">
        <v>800</v>
      </c>
      <c r="E18" s="69">
        <v>240</v>
      </c>
      <c r="F18" s="70">
        <v>160</v>
      </c>
      <c r="G18" s="80">
        <f t="shared" ref="G18:G39" si="21">(D18-(H18*(18/100)))*(100/46)</f>
        <v>1534.9716446124762</v>
      </c>
      <c r="H18" s="125">
        <f t="shared" si="6"/>
        <v>521.73913043478262</v>
      </c>
      <c r="I18" s="163">
        <f t="shared" si="7"/>
        <v>266.66666666666669</v>
      </c>
      <c r="J18" s="61">
        <f t="shared" si="8"/>
        <v>767.48582230623811</v>
      </c>
      <c r="K18" s="66">
        <f t="shared" si="9"/>
        <v>173.91304347826087</v>
      </c>
      <c r="L18" s="63">
        <f t="shared" si="10"/>
        <v>41.025641025641029</v>
      </c>
      <c r="M18" s="61">
        <f t="shared" si="11"/>
        <v>383.74291115311905</v>
      </c>
      <c r="N18" s="76">
        <f t="shared" si="12"/>
        <v>173.91304347826087</v>
      </c>
      <c r="O18" s="75">
        <f t="shared" si="13"/>
        <v>82.051282051282058</v>
      </c>
      <c r="P18" s="61">
        <f t="shared" si="14"/>
        <v>383.74291115311905</v>
      </c>
      <c r="Q18" s="76">
        <f t="shared" si="15"/>
        <v>173.91304347826087</v>
      </c>
      <c r="R18" s="75">
        <f t="shared" si="16"/>
        <v>82.051282051282058</v>
      </c>
      <c r="S18" s="61">
        <f t="shared" si="17"/>
        <v>0</v>
      </c>
      <c r="T18" s="76">
        <f t="shared" si="18"/>
        <v>0</v>
      </c>
      <c r="U18" s="75">
        <f t="shared" si="19"/>
        <v>61.53846153846154</v>
      </c>
      <c r="W18" s="80">
        <f t="shared" si="20"/>
        <v>1600</v>
      </c>
      <c r="X18" s="80">
        <f t="shared" si="20"/>
        <v>600</v>
      </c>
      <c r="Y18" s="80">
        <f t="shared" si="20"/>
        <v>400</v>
      </c>
      <c r="Z18" s="103">
        <v>800</v>
      </c>
      <c r="AA18" s="67">
        <v>200</v>
      </c>
      <c r="AB18" s="107">
        <v>100</v>
      </c>
      <c r="AC18" s="65">
        <v>400</v>
      </c>
      <c r="AD18" s="67">
        <v>200</v>
      </c>
      <c r="AE18" s="107">
        <v>100</v>
      </c>
      <c r="AF18" s="65">
        <v>400</v>
      </c>
      <c r="AG18" s="67">
        <v>200</v>
      </c>
      <c r="AH18" s="107">
        <v>100</v>
      </c>
      <c r="AI18" s="65">
        <v>0</v>
      </c>
      <c r="AJ18" s="67">
        <v>0</v>
      </c>
      <c r="AK18" s="109">
        <v>100</v>
      </c>
    </row>
    <row r="19" spans="1:37" x14ac:dyDescent="0.35">
      <c r="A19" s="27" t="s">
        <v>13</v>
      </c>
      <c r="B19" s="28" t="s">
        <v>18</v>
      </c>
      <c r="C19" s="27" t="s">
        <v>15</v>
      </c>
      <c r="D19" s="61">
        <v>800</v>
      </c>
      <c r="E19" s="66">
        <v>120</v>
      </c>
      <c r="F19" s="63">
        <v>640</v>
      </c>
      <c r="G19" s="80">
        <f t="shared" si="21"/>
        <v>1637.0510396975424</v>
      </c>
      <c r="H19" s="125">
        <f t="shared" si="6"/>
        <v>260.86956521739131</v>
      </c>
      <c r="I19" s="163">
        <f t="shared" si="7"/>
        <v>1066.6666666666667</v>
      </c>
      <c r="J19" s="61">
        <f t="shared" si="8"/>
        <v>818.52551984877118</v>
      </c>
      <c r="K19" s="66">
        <f t="shared" si="9"/>
        <v>86.956521739130437</v>
      </c>
      <c r="L19" s="63">
        <f t="shared" si="10"/>
        <v>164.10256410256412</v>
      </c>
      <c r="M19" s="61">
        <f t="shared" si="11"/>
        <v>409.26275992438559</v>
      </c>
      <c r="N19" s="76">
        <f t="shared" si="12"/>
        <v>86.956521739130437</v>
      </c>
      <c r="O19" s="75">
        <f t="shared" si="13"/>
        <v>328.20512820512823</v>
      </c>
      <c r="P19" s="61">
        <f t="shared" si="14"/>
        <v>409.26275992438559</v>
      </c>
      <c r="Q19" s="76">
        <f t="shared" si="15"/>
        <v>86.956521739130437</v>
      </c>
      <c r="R19" s="75">
        <f t="shared" si="16"/>
        <v>328.20512820512823</v>
      </c>
      <c r="S19" s="61">
        <f t="shared" si="17"/>
        <v>0</v>
      </c>
      <c r="T19" s="76">
        <f t="shared" si="18"/>
        <v>0</v>
      </c>
      <c r="U19" s="75">
        <f t="shared" si="19"/>
        <v>246.15384615384616</v>
      </c>
      <c r="W19" s="80">
        <f t="shared" si="20"/>
        <v>1600</v>
      </c>
      <c r="X19" s="80">
        <f>AA19+AD19+AG19+AJ19</f>
        <v>300</v>
      </c>
      <c r="Y19" s="80">
        <f t="shared" si="20"/>
        <v>1400</v>
      </c>
      <c r="Z19" s="98">
        <v>800</v>
      </c>
      <c r="AA19" s="99">
        <v>100</v>
      </c>
      <c r="AB19" s="142">
        <v>300</v>
      </c>
      <c r="AC19" s="101">
        <v>400</v>
      </c>
      <c r="AD19" s="99">
        <v>100</v>
      </c>
      <c r="AE19" s="100">
        <v>400</v>
      </c>
      <c r="AF19" s="101">
        <v>400</v>
      </c>
      <c r="AG19" s="99">
        <v>100</v>
      </c>
      <c r="AH19" s="100">
        <v>400</v>
      </c>
      <c r="AI19" s="101">
        <v>0</v>
      </c>
      <c r="AJ19" s="99">
        <v>0</v>
      </c>
      <c r="AK19" s="102">
        <v>300</v>
      </c>
    </row>
    <row r="20" spans="1:37" x14ac:dyDescent="0.35">
      <c r="A20" s="27" t="s">
        <v>13</v>
      </c>
      <c r="B20" s="28" t="s">
        <v>18</v>
      </c>
      <c r="C20" s="27" t="s">
        <v>64</v>
      </c>
      <c r="D20" s="61">
        <v>800</v>
      </c>
      <c r="E20" s="66">
        <v>120</v>
      </c>
      <c r="F20" s="63">
        <v>320</v>
      </c>
      <c r="G20" s="80">
        <f t="shared" si="21"/>
        <v>1637.0510396975424</v>
      </c>
      <c r="H20" s="125">
        <f t="shared" si="6"/>
        <v>260.86956521739131</v>
      </c>
      <c r="I20" s="163">
        <f t="shared" si="7"/>
        <v>533.33333333333337</v>
      </c>
      <c r="J20" s="61">
        <f t="shared" si="8"/>
        <v>818.52551984877118</v>
      </c>
      <c r="K20" s="66">
        <f t="shared" si="9"/>
        <v>86.956521739130437</v>
      </c>
      <c r="L20" s="63">
        <f t="shared" si="10"/>
        <v>82.051282051282058</v>
      </c>
      <c r="M20" s="61">
        <f t="shared" si="11"/>
        <v>409.26275992438559</v>
      </c>
      <c r="N20" s="76">
        <f t="shared" si="12"/>
        <v>86.956521739130437</v>
      </c>
      <c r="O20" s="75">
        <f t="shared" si="13"/>
        <v>164.10256410256412</v>
      </c>
      <c r="P20" s="61">
        <f t="shared" si="14"/>
        <v>409.26275992438559</v>
      </c>
      <c r="Q20" s="76">
        <f t="shared" si="15"/>
        <v>86.956521739130437</v>
      </c>
      <c r="R20" s="75">
        <f t="shared" si="16"/>
        <v>164.10256410256412</v>
      </c>
      <c r="S20" s="61">
        <f t="shared" si="17"/>
        <v>0</v>
      </c>
      <c r="T20" s="76">
        <f t="shared" si="18"/>
        <v>0</v>
      </c>
      <c r="U20" s="75">
        <f t="shared" si="19"/>
        <v>123.07692307692308</v>
      </c>
      <c r="W20" s="80">
        <f t="shared" si="20"/>
        <v>1600</v>
      </c>
      <c r="X20" s="80">
        <f t="shared" si="20"/>
        <v>300</v>
      </c>
      <c r="Y20" s="80">
        <f t="shared" si="20"/>
        <v>800</v>
      </c>
      <c r="Z20" s="103">
        <v>800</v>
      </c>
      <c r="AA20" s="67">
        <v>100</v>
      </c>
      <c r="AB20" s="148">
        <v>200</v>
      </c>
      <c r="AC20" s="65">
        <v>400</v>
      </c>
      <c r="AD20" s="67">
        <v>100</v>
      </c>
      <c r="AE20" s="64">
        <v>200</v>
      </c>
      <c r="AF20" s="65">
        <v>400</v>
      </c>
      <c r="AG20" s="67">
        <v>100</v>
      </c>
      <c r="AH20" s="64">
        <v>200</v>
      </c>
      <c r="AI20" s="65">
        <v>0</v>
      </c>
      <c r="AJ20" s="67">
        <v>0</v>
      </c>
      <c r="AK20" s="104">
        <v>200</v>
      </c>
    </row>
    <row r="21" spans="1:37" ht="18.600000000000001" thickBot="1" x14ac:dyDescent="0.4">
      <c r="A21" s="27" t="s">
        <v>13</v>
      </c>
      <c r="B21" s="28" t="s">
        <v>18</v>
      </c>
      <c r="C21" s="27" t="s">
        <v>17</v>
      </c>
      <c r="D21" s="68">
        <v>800</v>
      </c>
      <c r="E21" s="69">
        <v>120</v>
      </c>
      <c r="F21" s="70">
        <v>160</v>
      </c>
      <c r="G21" s="80">
        <f t="shared" si="21"/>
        <v>1637.0510396975424</v>
      </c>
      <c r="H21" s="125">
        <f t="shared" si="6"/>
        <v>260.86956521739131</v>
      </c>
      <c r="I21" s="163">
        <f t="shared" si="7"/>
        <v>266.66666666666669</v>
      </c>
      <c r="J21" s="61">
        <f t="shared" si="8"/>
        <v>818.52551984877118</v>
      </c>
      <c r="K21" s="66">
        <f t="shared" si="9"/>
        <v>86.956521739130437</v>
      </c>
      <c r="L21" s="63">
        <f t="shared" si="10"/>
        <v>41.025641025641029</v>
      </c>
      <c r="M21" s="61">
        <f t="shared" si="11"/>
        <v>409.26275992438559</v>
      </c>
      <c r="N21" s="76">
        <f t="shared" si="12"/>
        <v>86.956521739130437</v>
      </c>
      <c r="O21" s="75">
        <f t="shared" si="13"/>
        <v>82.051282051282058</v>
      </c>
      <c r="P21" s="61">
        <f t="shared" si="14"/>
        <v>409.26275992438559</v>
      </c>
      <c r="Q21" s="76">
        <f t="shared" si="15"/>
        <v>86.956521739130437</v>
      </c>
      <c r="R21" s="75">
        <f t="shared" si="16"/>
        <v>82.051282051282058</v>
      </c>
      <c r="S21" s="61">
        <f t="shared" si="17"/>
        <v>0</v>
      </c>
      <c r="T21" s="76">
        <f t="shared" si="18"/>
        <v>0</v>
      </c>
      <c r="U21" s="75">
        <f t="shared" si="19"/>
        <v>61.53846153846154</v>
      </c>
      <c r="W21" s="80">
        <f t="shared" si="20"/>
        <v>1600</v>
      </c>
      <c r="X21" s="80">
        <f t="shared" si="20"/>
        <v>300</v>
      </c>
      <c r="Y21" s="80">
        <f t="shared" si="20"/>
        <v>400</v>
      </c>
      <c r="Z21" s="105">
        <v>800</v>
      </c>
      <c r="AA21" s="106">
        <v>100</v>
      </c>
      <c r="AB21" s="107">
        <v>100</v>
      </c>
      <c r="AC21" s="108">
        <v>400</v>
      </c>
      <c r="AD21" s="106">
        <v>100</v>
      </c>
      <c r="AE21" s="107">
        <v>100</v>
      </c>
      <c r="AF21" s="108">
        <v>400</v>
      </c>
      <c r="AG21" s="106">
        <v>100</v>
      </c>
      <c r="AH21" s="107">
        <v>100</v>
      </c>
      <c r="AI21" s="108">
        <v>0</v>
      </c>
      <c r="AJ21" s="106">
        <v>0</v>
      </c>
      <c r="AK21" s="109">
        <v>100</v>
      </c>
    </row>
    <row r="22" spans="1:37" x14ac:dyDescent="0.35">
      <c r="A22" s="29" t="s">
        <v>19</v>
      </c>
      <c r="B22" s="30" t="s">
        <v>14</v>
      </c>
      <c r="C22" s="31" t="s">
        <v>15</v>
      </c>
      <c r="D22" s="71">
        <v>400</v>
      </c>
      <c r="E22" s="62">
        <v>480</v>
      </c>
      <c r="F22" s="63">
        <v>640</v>
      </c>
      <c r="G22" s="80">
        <f t="shared" si="21"/>
        <v>461.24763705103965</v>
      </c>
      <c r="H22" s="125">
        <f t="shared" si="6"/>
        <v>1043.4782608695652</v>
      </c>
      <c r="I22" s="163">
        <f t="shared" si="7"/>
        <v>1066.6666666666667</v>
      </c>
      <c r="J22" s="61">
        <f t="shared" si="8"/>
        <v>230.62381852551982</v>
      </c>
      <c r="K22" s="66">
        <f t="shared" si="9"/>
        <v>347.82608695652175</v>
      </c>
      <c r="L22" s="63">
        <f t="shared" si="10"/>
        <v>164.10256410256412</v>
      </c>
      <c r="M22" s="61">
        <f t="shared" si="11"/>
        <v>115.31190926275991</v>
      </c>
      <c r="N22" s="76">
        <f t="shared" si="12"/>
        <v>347.82608695652175</v>
      </c>
      <c r="O22" s="75">
        <f t="shared" si="13"/>
        <v>328.20512820512823</v>
      </c>
      <c r="P22" s="61">
        <f t="shared" si="14"/>
        <v>115.31190926275991</v>
      </c>
      <c r="Q22" s="76">
        <f t="shared" si="15"/>
        <v>347.82608695652175</v>
      </c>
      <c r="R22" s="75">
        <f t="shared" si="16"/>
        <v>328.20512820512823</v>
      </c>
      <c r="S22" s="61">
        <f t="shared" si="17"/>
        <v>0</v>
      </c>
      <c r="T22" s="76">
        <f t="shared" si="18"/>
        <v>0</v>
      </c>
      <c r="U22" s="75">
        <f t="shared" si="19"/>
        <v>246.15384615384616</v>
      </c>
      <c r="W22" s="80">
        <f>Z22+AC22+AF22+AI22</f>
        <v>400</v>
      </c>
      <c r="X22" s="80">
        <f t="shared" si="20"/>
        <v>1100</v>
      </c>
      <c r="Y22" s="80">
        <f t="shared" si="20"/>
        <v>1400</v>
      </c>
      <c r="Z22" s="103">
        <v>200</v>
      </c>
      <c r="AA22" s="99">
        <v>300</v>
      </c>
      <c r="AB22" s="142">
        <v>300</v>
      </c>
      <c r="AC22" s="65">
        <v>100</v>
      </c>
      <c r="AD22" s="139">
        <v>400</v>
      </c>
      <c r="AE22" s="100">
        <v>400</v>
      </c>
      <c r="AF22" s="65">
        <v>100</v>
      </c>
      <c r="AG22" s="139">
        <v>400</v>
      </c>
      <c r="AH22" s="100">
        <v>400</v>
      </c>
      <c r="AI22" s="65">
        <v>0</v>
      </c>
      <c r="AJ22" s="67">
        <v>0</v>
      </c>
      <c r="AK22" s="102">
        <v>300</v>
      </c>
    </row>
    <row r="23" spans="1:37" x14ac:dyDescent="0.35">
      <c r="A23" s="29" t="s">
        <v>19</v>
      </c>
      <c r="B23" s="30" t="s">
        <v>14</v>
      </c>
      <c r="C23" s="31" t="s">
        <v>64</v>
      </c>
      <c r="D23" s="61">
        <v>400</v>
      </c>
      <c r="E23" s="66">
        <v>480</v>
      </c>
      <c r="F23" s="63">
        <v>320</v>
      </c>
      <c r="G23" s="80">
        <f t="shared" si="21"/>
        <v>461.24763705103965</v>
      </c>
      <c r="H23" s="125">
        <f t="shared" si="6"/>
        <v>1043.4782608695652</v>
      </c>
      <c r="I23" s="163">
        <f t="shared" si="7"/>
        <v>533.33333333333337</v>
      </c>
      <c r="J23" s="61">
        <f t="shared" si="8"/>
        <v>230.62381852551982</v>
      </c>
      <c r="K23" s="66">
        <f t="shared" si="9"/>
        <v>347.82608695652175</v>
      </c>
      <c r="L23" s="63">
        <f t="shared" si="10"/>
        <v>82.051282051282058</v>
      </c>
      <c r="M23" s="61">
        <f t="shared" si="11"/>
        <v>115.31190926275991</v>
      </c>
      <c r="N23" s="76">
        <f t="shared" si="12"/>
        <v>347.82608695652175</v>
      </c>
      <c r="O23" s="75">
        <f t="shared" si="13"/>
        <v>164.10256410256412</v>
      </c>
      <c r="P23" s="61">
        <f t="shared" si="14"/>
        <v>115.31190926275991</v>
      </c>
      <c r="Q23" s="76">
        <f t="shared" si="15"/>
        <v>347.82608695652175</v>
      </c>
      <c r="R23" s="75">
        <f t="shared" si="16"/>
        <v>164.10256410256412</v>
      </c>
      <c r="S23" s="61">
        <f t="shared" si="17"/>
        <v>0</v>
      </c>
      <c r="T23" s="76">
        <f t="shared" si="18"/>
        <v>0</v>
      </c>
      <c r="U23" s="75">
        <f t="shared" si="19"/>
        <v>123.07692307692308</v>
      </c>
      <c r="W23" s="80">
        <f t="shared" si="20"/>
        <v>400</v>
      </c>
      <c r="X23" s="80">
        <f t="shared" si="20"/>
        <v>1100</v>
      </c>
      <c r="Y23" s="80">
        <f t="shared" si="20"/>
        <v>800</v>
      </c>
      <c r="Z23" s="103">
        <v>200</v>
      </c>
      <c r="AA23" s="67">
        <v>300</v>
      </c>
      <c r="AB23" s="148">
        <v>200</v>
      </c>
      <c r="AC23" s="65">
        <v>100</v>
      </c>
      <c r="AD23" s="140">
        <v>400</v>
      </c>
      <c r="AE23" s="64">
        <v>200</v>
      </c>
      <c r="AF23" s="65">
        <v>100</v>
      </c>
      <c r="AG23" s="140">
        <v>400</v>
      </c>
      <c r="AH23" s="64">
        <v>200</v>
      </c>
      <c r="AI23" s="65">
        <v>0</v>
      </c>
      <c r="AJ23" s="67">
        <v>0</v>
      </c>
      <c r="AK23" s="104">
        <v>200</v>
      </c>
    </row>
    <row r="24" spans="1:37" ht="18.600000000000001" thickBot="1" x14ac:dyDescent="0.4">
      <c r="A24" s="29" t="s">
        <v>19</v>
      </c>
      <c r="B24" s="30" t="s">
        <v>14</v>
      </c>
      <c r="C24" s="31" t="s">
        <v>17</v>
      </c>
      <c r="D24" s="68">
        <v>400</v>
      </c>
      <c r="E24" s="69">
        <v>480</v>
      </c>
      <c r="F24" s="70">
        <v>160</v>
      </c>
      <c r="G24" s="80">
        <f t="shared" si="21"/>
        <v>461.24763705103965</v>
      </c>
      <c r="H24" s="125">
        <f t="shared" si="6"/>
        <v>1043.4782608695652</v>
      </c>
      <c r="I24" s="163">
        <f t="shared" si="7"/>
        <v>266.66666666666669</v>
      </c>
      <c r="J24" s="61">
        <f t="shared" si="8"/>
        <v>230.62381852551982</v>
      </c>
      <c r="K24" s="66">
        <f t="shared" si="9"/>
        <v>347.82608695652175</v>
      </c>
      <c r="L24" s="63">
        <f t="shared" si="10"/>
        <v>41.025641025641029</v>
      </c>
      <c r="M24" s="61">
        <f t="shared" si="11"/>
        <v>115.31190926275991</v>
      </c>
      <c r="N24" s="76">
        <f t="shared" si="12"/>
        <v>347.82608695652175</v>
      </c>
      <c r="O24" s="75">
        <f t="shared" si="13"/>
        <v>82.051282051282058</v>
      </c>
      <c r="P24" s="61">
        <f t="shared" si="14"/>
        <v>115.31190926275991</v>
      </c>
      <c r="Q24" s="76">
        <f t="shared" si="15"/>
        <v>347.82608695652175</v>
      </c>
      <c r="R24" s="75">
        <f t="shared" si="16"/>
        <v>82.051282051282058</v>
      </c>
      <c r="S24" s="61">
        <f t="shared" si="17"/>
        <v>0</v>
      </c>
      <c r="T24" s="76">
        <f t="shared" si="18"/>
        <v>0</v>
      </c>
      <c r="U24" s="75">
        <f t="shared" si="19"/>
        <v>61.53846153846154</v>
      </c>
      <c r="W24" s="80">
        <f t="shared" si="20"/>
        <v>400</v>
      </c>
      <c r="X24" s="80">
        <f t="shared" si="20"/>
        <v>1100</v>
      </c>
      <c r="Y24" s="80">
        <f t="shared" si="20"/>
        <v>400</v>
      </c>
      <c r="Z24" s="103">
        <v>200</v>
      </c>
      <c r="AA24" s="106">
        <v>300</v>
      </c>
      <c r="AB24" s="107">
        <v>100</v>
      </c>
      <c r="AC24" s="65">
        <v>100</v>
      </c>
      <c r="AD24" s="141">
        <v>400</v>
      </c>
      <c r="AE24" s="107">
        <v>100</v>
      </c>
      <c r="AF24" s="65">
        <v>100</v>
      </c>
      <c r="AG24" s="141">
        <v>400</v>
      </c>
      <c r="AH24" s="107">
        <v>100</v>
      </c>
      <c r="AI24" s="65">
        <v>0</v>
      </c>
      <c r="AJ24" s="67">
        <v>0</v>
      </c>
      <c r="AK24" s="109">
        <v>100</v>
      </c>
    </row>
    <row r="25" spans="1:37" x14ac:dyDescent="0.35">
      <c r="A25" s="32" t="s">
        <v>19</v>
      </c>
      <c r="B25" s="33" t="s">
        <v>63</v>
      </c>
      <c r="C25" s="34" t="s">
        <v>15</v>
      </c>
      <c r="D25" s="61">
        <v>400</v>
      </c>
      <c r="E25" s="62">
        <v>240</v>
      </c>
      <c r="F25" s="72">
        <v>640</v>
      </c>
      <c r="G25" s="80">
        <f t="shared" si="21"/>
        <v>665.40642722117195</v>
      </c>
      <c r="H25" s="125">
        <f t="shared" si="6"/>
        <v>521.73913043478262</v>
      </c>
      <c r="I25" s="163">
        <f t="shared" si="7"/>
        <v>1066.6666666666667</v>
      </c>
      <c r="J25" s="61">
        <f t="shared" si="8"/>
        <v>332.70321361058598</v>
      </c>
      <c r="K25" s="66">
        <f t="shared" si="9"/>
        <v>173.91304347826087</v>
      </c>
      <c r="L25" s="63">
        <f t="shared" si="10"/>
        <v>164.10256410256412</v>
      </c>
      <c r="M25" s="61">
        <f t="shared" si="11"/>
        <v>166.35160680529299</v>
      </c>
      <c r="N25" s="76">
        <f t="shared" si="12"/>
        <v>173.91304347826087</v>
      </c>
      <c r="O25" s="75">
        <f t="shared" si="13"/>
        <v>328.20512820512823</v>
      </c>
      <c r="P25" s="61">
        <f t="shared" si="14"/>
        <v>166.35160680529299</v>
      </c>
      <c r="Q25" s="76">
        <f t="shared" si="15"/>
        <v>173.91304347826087</v>
      </c>
      <c r="R25" s="75">
        <f t="shared" si="16"/>
        <v>328.20512820512823</v>
      </c>
      <c r="S25" s="61">
        <f t="shared" si="17"/>
        <v>0</v>
      </c>
      <c r="T25" s="76">
        <f t="shared" si="18"/>
        <v>0</v>
      </c>
      <c r="U25" s="75">
        <f t="shared" si="19"/>
        <v>246.15384615384616</v>
      </c>
      <c r="W25" s="80">
        <f>Z25+AC25+AF25+AI25</f>
        <v>700</v>
      </c>
      <c r="X25" s="80">
        <f t="shared" si="20"/>
        <v>600</v>
      </c>
      <c r="Y25" s="80">
        <f t="shared" si="20"/>
        <v>1400</v>
      </c>
      <c r="Z25" s="98">
        <v>300</v>
      </c>
      <c r="AA25" s="67">
        <v>200</v>
      </c>
      <c r="AB25" s="142">
        <v>300</v>
      </c>
      <c r="AC25" s="101">
        <v>200</v>
      </c>
      <c r="AD25" s="67">
        <v>200</v>
      </c>
      <c r="AE25" s="100">
        <v>400</v>
      </c>
      <c r="AF25" s="101">
        <v>200</v>
      </c>
      <c r="AG25" s="67">
        <v>200</v>
      </c>
      <c r="AH25" s="100">
        <v>400</v>
      </c>
      <c r="AI25" s="101">
        <v>0</v>
      </c>
      <c r="AJ25" s="99">
        <v>0</v>
      </c>
      <c r="AK25" s="102">
        <v>300</v>
      </c>
    </row>
    <row r="26" spans="1:37" x14ac:dyDescent="0.35">
      <c r="A26" s="32" t="s">
        <v>19</v>
      </c>
      <c r="B26" s="33" t="s">
        <v>63</v>
      </c>
      <c r="C26" s="34" t="s">
        <v>64</v>
      </c>
      <c r="D26" s="61">
        <v>400</v>
      </c>
      <c r="E26" s="66">
        <v>240</v>
      </c>
      <c r="F26" s="63">
        <v>320</v>
      </c>
      <c r="G26" s="80">
        <f t="shared" si="21"/>
        <v>665.40642722117195</v>
      </c>
      <c r="H26" s="125">
        <f t="shared" si="6"/>
        <v>521.73913043478262</v>
      </c>
      <c r="I26" s="163">
        <f t="shared" si="7"/>
        <v>533.33333333333337</v>
      </c>
      <c r="J26" s="61">
        <f t="shared" si="8"/>
        <v>332.70321361058598</v>
      </c>
      <c r="K26" s="66">
        <f t="shared" si="9"/>
        <v>173.91304347826087</v>
      </c>
      <c r="L26" s="63">
        <f t="shared" si="10"/>
        <v>82.051282051282058</v>
      </c>
      <c r="M26" s="61">
        <f t="shared" si="11"/>
        <v>166.35160680529299</v>
      </c>
      <c r="N26" s="76">
        <f t="shared" si="12"/>
        <v>173.91304347826087</v>
      </c>
      <c r="O26" s="75">
        <f t="shared" si="13"/>
        <v>164.10256410256412</v>
      </c>
      <c r="P26" s="61">
        <f t="shared" si="14"/>
        <v>166.35160680529299</v>
      </c>
      <c r="Q26" s="76">
        <f t="shared" si="15"/>
        <v>173.91304347826087</v>
      </c>
      <c r="R26" s="75">
        <f t="shared" si="16"/>
        <v>164.10256410256412</v>
      </c>
      <c r="S26" s="61">
        <f t="shared" si="17"/>
        <v>0</v>
      </c>
      <c r="T26" s="76">
        <f t="shared" si="18"/>
        <v>0</v>
      </c>
      <c r="U26" s="75">
        <f t="shared" si="19"/>
        <v>123.07692307692308</v>
      </c>
      <c r="W26" s="80">
        <f t="shared" si="20"/>
        <v>700</v>
      </c>
      <c r="X26" s="80">
        <f t="shared" si="20"/>
        <v>600</v>
      </c>
      <c r="Y26" s="80">
        <f t="shared" si="20"/>
        <v>800</v>
      </c>
      <c r="Z26" s="103">
        <v>300</v>
      </c>
      <c r="AA26" s="67">
        <v>200</v>
      </c>
      <c r="AB26" s="148">
        <v>200</v>
      </c>
      <c r="AC26" s="65">
        <v>200</v>
      </c>
      <c r="AD26" s="67">
        <v>200</v>
      </c>
      <c r="AE26" s="64">
        <v>200</v>
      </c>
      <c r="AF26" s="65">
        <v>200</v>
      </c>
      <c r="AG26" s="67">
        <v>200</v>
      </c>
      <c r="AH26" s="64">
        <v>200</v>
      </c>
      <c r="AI26" s="65">
        <v>0</v>
      </c>
      <c r="AJ26" s="67">
        <v>0</v>
      </c>
      <c r="AK26" s="104">
        <v>200</v>
      </c>
    </row>
    <row r="27" spans="1:37" ht="18.600000000000001" thickBot="1" x14ac:dyDescent="0.4">
      <c r="A27" s="32" t="s">
        <v>19</v>
      </c>
      <c r="B27" s="33" t="s">
        <v>63</v>
      </c>
      <c r="C27" s="34" t="s">
        <v>17</v>
      </c>
      <c r="D27" s="68">
        <v>400</v>
      </c>
      <c r="E27" s="69">
        <v>240</v>
      </c>
      <c r="F27" s="70">
        <v>160</v>
      </c>
      <c r="G27" s="80">
        <f t="shared" si="21"/>
        <v>665.40642722117195</v>
      </c>
      <c r="H27" s="125">
        <f t="shared" si="6"/>
        <v>521.73913043478262</v>
      </c>
      <c r="I27" s="163">
        <f t="shared" si="7"/>
        <v>266.66666666666669</v>
      </c>
      <c r="J27" s="61">
        <f t="shared" si="8"/>
        <v>332.70321361058598</v>
      </c>
      <c r="K27" s="66">
        <f t="shared" si="9"/>
        <v>173.91304347826087</v>
      </c>
      <c r="L27" s="63">
        <f t="shared" si="10"/>
        <v>41.025641025641029</v>
      </c>
      <c r="M27" s="61">
        <f t="shared" si="11"/>
        <v>166.35160680529299</v>
      </c>
      <c r="N27" s="76">
        <f t="shared" si="12"/>
        <v>173.91304347826087</v>
      </c>
      <c r="O27" s="75">
        <f t="shared" si="13"/>
        <v>82.051282051282058</v>
      </c>
      <c r="P27" s="61">
        <f t="shared" si="14"/>
        <v>166.35160680529299</v>
      </c>
      <c r="Q27" s="76">
        <f t="shared" si="15"/>
        <v>173.91304347826087</v>
      </c>
      <c r="R27" s="75">
        <f t="shared" si="16"/>
        <v>82.051282051282058</v>
      </c>
      <c r="S27" s="61">
        <f t="shared" si="17"/>
        <v>0</v>
      </c>
      <c r="T27" s="76">
        <f t="shared" si="18"/>
        <v>0</v>
      </c>
      <c r="U27" s="75">
        <f t="shared" si="19"/>
        <v>61.53846153846154</v>
      </c>
      <c r="W27" s="80">
        <f t="shared" si="20"/>
        <v>700</v>
      </c>
      <c r="X27" s="80">
        <f t="shared" si="20"/>
        <v>600</v>
      </c>
      <c r="Y27" s="80">
        <f t="shared" si="20"/>
        <v>400</v>
      </c>
      <c r="Z27" s="105">
        <v>300</v>
      </c>
      <c r="AA27" s="67">
        <v>200</v>
      </c>
      <c r="AB27" s="107">
        <v>100</v>
      </c>
      <c r="AC27" s="108">
        <v>200</v>
      </c>
      <c r="AD27" s="67">
        <v>200</v>
      </c>
      <c r="AE27" s="107">
        <v>100</v>
      </c>
      <c r="AF27" s="108">
        <v>200</v>
      </c>
      <c r="AG27" s="67">
        <v>200</v>
      </c>
      <c r="AH27" s="107">
        <v>100</v>
      </c>
      <c r="AI27" s="108">
        <v>0</v>
      </c>
      <c r="AJ27" s="106">
        <v>0</v>
      </c>
      <c r="AK27" s="109">
        <v>100</v>
      </c>
    </row>
    <row r="28" spans="1:37" x14ac:dyDescent="0.35">
      <c r="A28" s="35" t="s">
        <v>19</v>
      </c>
      <c r="B28" s="36" t="s">
        <v>18</v>
      </c>
      <c r="C28" s="37" t="s">
        <v>15</v>
      </c>
      <c r="D28" s="71">
        <v>400</v>
      </c>
      <c r="E28" s="62">
        <v>120</v>
      </c>
      <c r="F28" s="72">
        <v>640</v>
      </c>
      <c r="G28" s="80">
        <f t="shared" si="21"/>
        <v>767.48582230623811</v>
      </c>
      <c r="H28" s="125">
        <f t="shared" si="6"/>
        <v>260.86956521739131</v>
      </c>
      <c r="I28" s="163">
        <f t="shared" si="7"/>
        <v>1066.6666666666667</v>
      </c>
      <c r="J28" s="61">
        <f t="shared" si="8"/>
        <v>383.74291115311905</v>
      </c>
      <c r="K28" s="66">
        <f t="shared" si="9"/>
        <v>86.956521739130437</v>
      </c>
      <c r="L28" s="63">
        <f t="shared" si="10"/>
        <v>164.10256410256412</v>
      </c>
      <c r="M28" s="61">
        <f t="shared" si="11"/>
        <v>191.87145557655953</v>
      </c>
      <c r="N28" s="76">
        <f t="shared" si="12"/>
        <v>86.956521739130437</v>
      </c>
      <c r="O28" s="75">
        <f t="shared" si="13"/>
        <v>328.20512820512823</v>
      </c>
      <c r="P28" s="61">
        <f t="shared" si="14"/>
        <v>191.87145557655953</v>
      </c>
      <c r="Q28" s="76">
        <f t="shared" si="15"/>
        <v>86.956521739130437</v>
      </c>
      <c r="R28" s="75">
        <f t="shared" si="16"/>
        <v>328.20512820512823</v>
      </c>
      <c r="S28" s="61">
        <f t="shared" si="17"/>
        <v>0</v>
      </c>
      <c r="T28" s="76">
        <f t="shared" si="18"/>
        <v>0</v>
      </c>
      <c r="U28" s="75">
        <f t="shared" si="19"/>
        <v>246.15384615384616</v>
      </c>
      <c r="W28" s="80">
        <f>Z28+AC28+AF28+AI28</f>
        <v>800</v>
      </c>
      <c r="X28" s="80">
        <f>AA28+AD28+AG28+AJ28</f>
        <v>300</v>
      </c>
      <c r="Y28" s="80">
        <f t="shared" si="20"/>
        <v>1400</v>
      </c>
      <c r="Z28" s="103">
        <v>400</v>
      </c>
      <c r="AA28" s="99">
        <v>100</v>
      </c>
      <c r="AB28" s="142">
        <v>300</v>
      </c>
      <c r="AC28" s="65">
        <v>200</v>
      </c>
      <c r="AD28" s="99">
        <v>100</v>
      </c>
      <c r="AE28" s="100">
        <v>400</v>
      </c>
      <c r="AF28" s="65">
        <v>200</v>
      </c>
      <c r="AG28" s="99">
        <v>100</v>
      </c>
      <c r="AH28" s="100">
        <v>400</v>
      </c>
      <c r="AI28" s="65">
        <v>0</v>
      </c>
      <c r="AJ28" s="67">
        <v>0</v>
      </c>
      <c r="AK28" s="102">
        <v>300</v>
      </c>
    </row>
    <row r="29" spans="1:37" x14ac:dyDescent="0.35">
      <c r="A29" s="35" t="s">
        <v>19</v>
      </c>
      <c r="B29" s="36" t="s">
        <v>18</v>
      </c>
      <c r="C29" s="37" t="s">
        <v>64</v>
      </c>
      <c r="D29" s="61">
        <v>400</v>
      </c>
      <c r="E29" s="66">
        <v>120</v>
      </c>
      <c r="F29" s="63">
        <v>320</v>
      </c>
      <c r="G29" s="80">
        <f t="shared" si="21"/>
        <v>767.48582230623811</v>
      </c>
      <c r="H29" s="125">
        <f t="shared" si="6"/>
        <v>260.86956521739131</v>
      </c>
      <c r="I29" s="163">
        <f t="shared" si="7"/>
        <v>533.33333333333337</v>
      </c>
      <c r="J29" s="61">
        <f t="shared" si="8"/>
        <v>383.74291115311905</v>
      </c>
      <c r="K29" s="66">
        <f t="shared" si="9"/>
        <v>86.956521739130437</v>
      </c>
      <c r="L29" s="63">
        <f t="shared" si="10"/>
        <v>82.051282051282058</v>
      </c>
      <c r="M29" s="61">
        <f t="shared" si="11"/>
        <v>191.87145557655953</v>
      </c>
      <c r="N29" s="76">
        <f t="shared" si="12"/>
        <v>86.956521739130437</v>
      </c>
      <c r="O29" s="75">
        <f t="shared" si="13"/>
        <v>164.10256410256412</v>
      </c>
      <c r="P29" s="61">
        <f t="shared" si="14"/>
        <v>191.87145557655953</v>
      </c>
      <c r="Q29" s="76">
        <f t="shared" si="15"/>
        <v>86.956521739130437</v>
      </c>
      <c r="R29" s="75">
        <f t="shared" si="16"/>
        <v>164.10256410256412</v>
      </c>
      <c r="S29" s="61">
        <f t="shared" si="17"/>
        <v>0</v>
      </c>
      <c r="T29" s="76">
        <f t="shared" si="18"/>
        <v>0</v>
      </c>
      <c r="U29" s="75">
        <f t="shared" si="19"/>
        <v>123.07692307692308</v>
      </c>
      <c r="W29" s="80">
        <f t="shared" si="20"/>
        <v>800</v>
      </c>
      <c r="X29" s="80">
        <f t="shared" si="20"/>
        <v>300</v>
      </c>
      <c r="Y29" s="80">
        <f t="shared" si="20"/>
        <v>800</v>
      </c>
      <c r="Z29" s="103">
        <v>400</v>
      </c>
      <c r="AA29" s="67">
        <v>100</v>
      </c>
      <c r="AB29" s="148">
        <v>200</v>
      </c>
      <c r="AC29" s="65">
        <v>200</v>
      </c>
      <c r="AD29" s="67">
        <v>100</v>
      </c>
      <c r="AE29" s="64">
        <v>200</v>
      </c>
      <c r="AF29" s="65">
        <v>200</v>
      </c>
      <c r="AG29" s="67">
        <v>100</v>
      </c>
      <c r="AH29" s="64">
        <v>200</v>
      </c>
      <c r="AI29" s="65">
        <v>0</v>
      </c>
      <c r="AJ29" s="67">
        <v>0</v>
      </c>
      <c r="AK29" s="104">
        <v>200</v>
      </c>
    </row>
    <row r="30" spans="1:37" ht="18.600000000000001" thickBot="1" x14ac:dyDescent="0.4">
      <c r="A30" s="35" t="s">
        <v>19</v>
      </c>
      <c r="B30" s="36" t="s">
        <v>18</v>
      </c>
      <c r="C30" s="37" t="s">
        <v>17</v>
      </c>
      <c r="D30" s="68">
        <v>400</v>
      </c>
      <c r="E30" s="69">
        <v>120</v>
      </c>
      <c r="F30" s="70">
        <v>160</v>
      </c>
      <c r="G30" s="80">
        <f t="shared" si="21"/>
        <v>767.48582230623811</v>
      </c>
      <c r="H30" s="125">
        <f t="shared" si="6"/>
        <v>260.86956521739131</v>
      </c>
      <c r="I30" s="163">
        <f t="shared" si="7"/>
        <v>266.66666666666669</v>
      </c>
      <c r="J30" s="61">
        <f t="shared" si="8"/>
        <v>383.74291115311905</v>
      </c>
      <c r="K30" s="66">
        <f t="shared" si="9"/>
        <v>86.956521739130437</v>
      </c>
      <c r="L30" s="63">
        <f t="shared" si="10"/>
        <v>41.025641025641029</v>
      </c>
      <c r="M30" s="61">
        <f t="shared" si="11"/>
        <v>191.87145557655953</v>
      </c>
      <c r="N30" s="76">
        <f t="shared" si="12"/>
        <v>86.956521739130437</v>
      </c>
      <c r="O30" s="75">
        <f t="shared" si="13"/>
        <v>82.051282051282058</v>
      </c>
      <c r="P30" s="61">
        <f t="shared" si="14"/>
        <v>191.87145557655953</v>
      </c>
      <c r="Q30" s="76">
        <f t="shared" si="15"/>
        <v>86.956521739130437</v>
      </c>
      <c r="R30" s="75">
        <f t="shared" si="16"/>
        <v>82.051282051282058</v>
      </c>
      <c r="S30" s="61">
        <f t="shared" si="17"/>
        <v>0</v>
      </c>
      <c r="T30" s="76">
        <f t="shared" si="18"/>
        <v>0</v>
      </c>
      <c r="U30" s="75">
        <f t="shared" si="19"/>
        <v>61.53846153846154</v>
      </c>
      <c r="W30" s="80">
        <f t="shared" si="20"/>
        <v>800</v>
      </c>
      <c r="X30" s="80">
        <f t="shared" si="20"/>
        <v>300</v>
      </c>
      <c r="Y30" s="80">
        <f t="shared" si="20"/>
        <v>400</v>
      </c>
      <c r="Z30" s="103">
        <v>400</v>
      </c>
      <c r="AA30" s="106">
        <v>100</v>
      </c>
      <c r="AB30" s="107">
        <v>100</v>
      </c>
      <c r="AC30" s="65">
        <v>200</v>
      </c>
      <c r="AD30" s="106">
        <v>100</v>
      </c>
      <c r="AE30" s="107">
        <v>100</v>
      </c>
      <c r="AF30" s="65">
        <v>200</v>
      </c>
      <c r="AG30" s="106">
        <v>100</v>
      </c>
      <c r="AH30" s="107">
        <v>100</v>
      </c>
      <c r="AI30" s="65">
        <v>0</v>
      </c>
      <c r="AJ30" s="67">
        <v>0</v>
      </c>
      <c r="AK30" s="109">
        <v>100</v>
      </c>
    </row>
    <row r="31" spans="1:37" x14ac:dyDescent="0.35">
      <c r="A31" s="38" t="s">
        <v>20</v>
      </c>
      <c r="B31" s="39" t="s">
        <v>14</v>
      </c>
      <c r="C31" s="40" t="s">
        <v>15</v>
      </c>
      <c r="D31" s="71">
        <v>200</v>
      </c>
      <c r="E31" s="62">
        <v>480</v>
      </c>
      <c r="F31" s="63">
        <v>640</v>
      </c>
      <c r="G31" s="80">
        <f t="shared" si="21"/>
        <v>26.465028355387499</v>
      </c>
      <c r="H31" s="125">
        <f t="shared" si="6"/>
        <v>1043.4782608695652</v>
      </c>
      <c r="I31" s="163">
        <f t="shared" si="7"/>
        <v>1066.6666666666667</v>
      </c>
      <c r="J31" s="61">
        <f t="shared" si="8"/>
        <v>13.23251417769375</v>
      </c>
      <c r="K31" s="66">
        <f t="shared" si="9"/>
        <v>347.82608695652175</v>
      </c>
      <c r="L31" s="63">
        <f t="shared" si="10"/>
        <v>164.10256410256412</v>
      </c>
      <c r="M31" s="61">
        <f t="shared" si="11"/>
        <v>6.6162570888468748</v>
      </c>
      <c r="N31" s="76">
        <f t="shared" si="12"/>
        <v>347.82608695652175</v>
      </c>
      <c r="O31" s="75">
        <f t="shared" si="13"/>
        <v>328.20512820512823</v>
      </c>
      <c r="P31" s="61">
        <f t="shared" si="14"/>
        <v>6.6162570888468748</v>
      </c>
      <c r="Q31" s="76">
        <f t="shared" si="15"/>
        <v>347.82608695652175</v>
      </c>
      <c r="R31" s="75">
        <f t="shared" si="16"/>
        <v>328.20512820512823</v>
      </c>
      <c r="S31" s="61">
        <f t="shared" si="17"/>
        <v>0</v>
      </c>
      <c r="T31" s="76">
        <f t="shared" si="18"/>
        <v>0</v>
      </c>
      <c r="U31" s="75">
        <f t="shared" si="19"/>
        <v>246.15384615384616</v>
      </c>
      <c r="W31" s="80">
        <f>Z31+AC31+AF31+AI31</f>
        <v>0</v>
      </c>
      <c r="X31" s="80">
        <f>AA31+AD31+AG31+AJ31</f>
        <v>1100</v>
      </c>
      <c r="Y31" s="80">
        <f t="shared" si="20"/>
        <v>1400</v>
      </c>
      <c r="Z31" s="98">
        <v>0</v>
      </c>
      <c r="AA31" s="99">
        <v>300</v>
      </c>
      <c r="AB31" s="142">
        <v>300</v>
      </c>
      <c r="AC31" s="101">
        <v>0</v>
      </c>
      <c r="AD31" s="139">
        <v>400</v>
      </c>
      <c r="AE31" s="100">
        <v>400</v>
      </c>
      <c r="AF31" s="101">
        <v>0</v>
      </c>
      <c r="AG31" s="139">
        <v>400</v>
      </c>
      <c r="AH31" s="100">
        <v>400</v>
      </c>
      <c r="AI31" s="101">
        <v>0</v>
      </c>
      <c r="AJ31" s="99">
        <v>0</v>
      </c>
      <c r="AK31" s="102">
        <v>300</v>
      </c>
    </row>
    <row r="32" spans="1:37" x14ac:dyDescent="0.35">
      <c r="A32" s="38" t="s">
        <v>20</v>
      </c>
      <c r="B32" s="39" t="s">
        <v>14</v>
      </c>
      <c r="C32" s="40" t="s">
        <v>64</v>
      </c>
      <c r="D32" s="61">
        <v>200</v>
      </c>
      <c r="E32" s="66">
        <v>480</v>
      </c>
      <c r="F32" s="63">
        <v>320</v>
      </c>
      <c r="G32" s="80">
        <f t="shared" si="21"/>
        <v>26.465028355387499</v>
      </c>
      <c r="H32" s="125">
        <f t="shared" si="6"/>
        <v>1043.4782608695652</v>
      </c>
      <c r="I32" s="163">
        <f t="shared" si="7"/>
        <v>533.33333333333337</v>
      </c>
      <c r="J32" s="61">
        <f t="shared" si="8"/>
        <v>13.23251417769375</v>
      </c>
      <c r="K32" s="66">
        <f t="shared" si="9"/>
        <v>347.82608695652175</v>
      </c>
      <c r="L32" s="63">
        <f t="shared" si="10"/>
        <v>82.051282051282058</v>
      </c>
      <c r="M32" s="61">
        <f t="shared" si="11"/>
        <v>6.6162570888468748</v>
      </c>
      <c r="N32" s="76">
        <f t="shared" si="12"/>
        <v>347.82608695652175</v>
      </c>
      <c r="O32" s="75">
        <f t="shared" si="13"/>
        <v>164.10256410256412</v>
      </c>
      <c r="P32" s="61">
        <f t="shared" si="14"/>
        <v>6.6162570888468748</v>
      </c>
      <c r="Q32" s="76">
        <f t="shared" si="15"/>
        <v>347.82608695652175</v>
      </c>
      <c r="R32" s="75">
        <f t="shared" si="16"/>
        <v>164.10256410256412</v>
      </c>
      <c r="S32" s="61">
        <f t="shared" si="17"/>
        <v>0</v>
      </c>
      <c r="T32" s="76">
        <f t="shared" si="18"/>
        <v>0</v>
      </c>
      <c r="U32" s="75">
        <f t="shared" si="19"/>
        <v>123.07692307692308</v>
      </c>
      <c r="W32" s="80">
        <f t="shared" si="20"/>
        <v>0</v>
      </c>
      <c r="X32" s="80">
        <f t="shared" si="20"/>
        <v>1100</v>
      </c>
      <c r="Y32" s="80">
        <f t="shared" si="20"/>
        <v>800</v>
      </c>
      <c r="Z32" s="103">
        <v>0</v>
      </c>
      <c r="AA32" s="67">
        <v>300</v>
      </c>
      <c r="AB32" s="148">
        <v>200</v>
      </c>
      <c r="AC32" s="65">
        <v>0</v>
      </c>
      <c r="AD32" s="140">
        <v>400</v>
      </c>
      <c r="AE32" s="64">
        <v>200</v>
      </c>
      <c r="AF32" s="65">
        <v>0</v>
      </c>
      <c r="AG32" s="140">
        <v>400</v>
      </c>
      <c r="AH32" s="64">
        <v>200</v>
      </c>
      <c r="AI32" s="65">
        <v>0</v>
      </c>
      <c r="AJ32" s="67">
        <v>0</v>
      </c>
      <c r="AK32" s="104">
        <v>200</v>
      </c>
    </row>
    <row r="33" spans="1:37" ht="18.600000000000001" thickBot="1" x14ac:dyDescent="0.4">
      <c r="A33" s="38" t="s">
        <v>20</v>
      </c>
      <c r="B33" s="39" t="s">
        <v>14</v>
      </c>
      <c r="C33" s="40" t="s">
        <v>17</v>
      </c>
      <c r="D33" s="68">
        <v>200</v>
      </c>
      <c r="E33" s="69">
        <v>480</v>
      </c>
      <c r="F33" s="70">
        <v>160</v>
      </c>
      <c r="G33" s="80">
        <f t="shared" si="21"/>
        <v>26.465028355387499</v>
      </c>
      <c r="H33" s="125">
        <f t="shared" si="6"/>
        <v>1043.4782608695652</v>
      </c>
      <c r="I33" s="163">
        <f t="shared" si="7"/>
        <v>266.66666666666669</v>
      </c>
      <c r="J33" s="61">
        <f t="shared" si="8"/>
        <v>13.23251417769375</v>
      </c>
      <c r="K33" s="66">
        <f t="shared" si="9"/>
        <v>347.82608695652175</v>
      </c>
      <c r="L33" s="63">
        <f t="shared" si="10"/>
        <v>41.025641025641029</v>
      </c>
      <c r="M33" s="61">
        <f t="shared" si="11"/>
        <v>6.6162570888468748</v>
      </c>
      <c r="N33" s="76">
        <f t="shared" si="12"/>
        <v>347.82608695652175</v>
      </c>
      <c r="O33" s="75">
        <f t="shared" si="13"/>
        <v>82.051282051282058</v>
      </c>
      <c r="P33" s="61">
        <f t="shared" si="14"/>
        <v>6.6162570888468748</v>
      </c>
      <c r="Q33" s="76">
        <f t="shared" si="15"/>
        <v>347.82608695652175</v>
      </c>
      <c r="R33" s="75">
        <f t="shared" si="16"/>
        <v>82.051282051282058</v>
      </c>
      <c r="S33" s="61">
        <f t="shared" si="17"/>
        <v>0</v>
      </c>
      <c r="T33" s="76">
        <f t="shared" si="18"/>
        <v>0</v>
      </c>
      <c r="U33" s="75">
        <f t="shared" si="19"/>
        <v>61.53846153846154</v>
      </c>
      <c r="W33" s="80">
        <f t="shared" si="20"/>
        <v>0</v>
      </c>
      <c r="X33" s="80">
        <f t="shared" si="20"/>
        <v>1100</v>
      </c>
      <c r="Y33" s="80">
        <f t="shared" si="20"/>
        <v>400</v>
      </c>
      <c r="Z33" s="105">
        <v>0</v>
      </c>
      <c r="AA33" s="106">
        <v>300</v>
      </c>
      <c r="AB33" s="107">
        <v>100</v>
      </c>
      <c r="AC33" s="108">
        <v>0</v>
      </c>
      <c r="AD33" s="141">
        <v>400</v>
      </c>
      <c r="AE33" s="107">
        <v>100</v>
      </c>
      <c r="AF33" s="108">
        <v>0</v>
      </c>
      <c r="AG33" s="141">
        <v>400</v>
      </c>
      <c r="AH33" s="107">
        <v>100</v>
      </c>
      <c r="AI33" s="108">
        <v>0</v>
      </c>
      <c r="AJ33" s="106">
        <v>0</v>
      </c>
      <c r="AK33" s="109">
        <v>100</v>
      </c>
    </row>
    <row r="34" spans="1:37" x14ac:dyDescent="0.35">
      <c r="A34" s="41" t="s">
        <v>20</v>
      </c>
      <c r="B34" s="42" t="s">
        <v>63</v>
      </c>
      <c r="C34" s="43" t="s">
        <v>15</v>
      </c>
      <c r="D34" s="71">
        <v>200</v>
      </c>
      <c r="E34" s="62">
        <v>240</v>
      </c>
      <c r="F34" s="72">
        <v>640</v>
      </c>
      <c r="G34" s="80">
        <f t="shared" si="21"/>
        <v>230.62381852551982</v>
      </c>
      <c r="H34" s="125">
        <f t="shared" si="6"/>
        <v>521.73913043478262</v>
      </c>
      <c r="I34" s="163">
        <f t="shared" si="7"/>
        <v>1066.6666666666667</v>
      </c>
      <c r="J34" s="61">
        <f t="shared" si="8"/>
        <v>115.31190926275991</v>
      </c>
      <c r="K34" s="66">
        <f t="shared" si="9"/>
        <v>173.91304347826087</v>
      </c>
      <c r="L34" s="63">
        <f t="shared" si="10"/>
        <v>164.10256410256412</v>
      </c>
      <c r="M34" s="61">
        <f t="shared" si="11"/>
        <v>57.655954631379956</v>
      </c>
      <c r="N34" s="76">
        <f t="shared" si="12"/>
        <v>173.91304347826087</v>
      </c>
      <c r="O34" s="75">
        <f t="shared" si="13"/>
        <v>328.20512820512823</v>
      </c>
      <c r="P34" s="61">
        <f t="shared" si="14"/>
        <v>57.655954631379956</v>
      </c>
      <c r="Q34" s="76">
        <f t="shared" si="15"/>
        <v>173.91304347826087</v>
      </c>
      <c r="R34" s="75">
        <f t="shared" si="16"/>
        <v>328.20512820512823</v>
      </c>
      <c r="S34" s="61">
        <f t="shared" si="17"/>
        <v>0</v>
      </c>
      <c r="T34" s="76">
        <f t="shared" si="18"/>
        <v>0</v>
      </c>
      <c r="U34" s="75">
        <f t="shared" si="19"/>
        <v>246.15384615384616</v>
      </c>
      <c r="W34" s="80">
        <f>Z34+AC34+AF34+AI34</f>
        <v>300</v>
      </c>
      <c r="X34" s="80">
        <f>AA34+AD34+AG34+AJ34</f>
        <v>600</v>
      </c>
      <c r="Y34" s="80">
        <f t="shared" si="20"/>
        <v>1400</v>
      </c>
      <c r="Z34" s="103">
        <v>100</v>
      </c>
      <c r="AA34" s="67">
        <v>200</v>
      </c>
      <c r="AB34" s="142">
        <v>300</v>
      </c>
      <c r="AC34" s="65">
        <v>100</v>
      </c>
      <c r="AD34" s="67">
        <v>200</v>
      </c>
      <c r="AE34" s="100">
        <v>400</v>
      </c>
      <c r="AF34" s="65">
        <v>100</v>
      </c>
      <c r="AG34" s="67">
        <v>200</v>
      </c>
      <c r="AH34" s="100">
        <v>400</v>
      </c>
      <c r="AI34" s="65">
        <v>0</v>
      </c>
      <c r="AJ34" s="67">
        <v>0</v>
      </c>
      <c r="AK34" s="102">
        <v>300</v>
      </c>
    </row>
    <row r="35" spans="1:37" x14ac:dyDescent="0.35">
      <c r="A35" s="41" t="s">
        <v>20</v>
      </c>
      <c r="B35" s="42" t="s">
        <v>63</v>
      </c>
      <c r="C35" s="43" t="s">
        <v>64</v>
      </c>
      <c r="D35" s="61">
        <v>200</v>
      </c>
      <c r="E35" s="66">
        <v>240</v>
      </c>
      <c r="F35" s="63">
        <v>320</v>
      </c>
      <c r="G35" s="80">
        <f t="shared" si="21"/>
        <v>230.62381852551982</v>
      </c>
      <c r="H35" s="125">
        <f t="shared" si="6"/>
        <v>521.73913043478262</v>
      </c>
      <c r="I35" s="163">
        <f t="shared" si="7"/>
        <v>533.33333333333337</v>
      </c>
      <c r="J35" s="61">
        <f t="shared" si="8"/>
        <v>115.31190926275991</v>
      </c>
      <c r="K35" s="66">
        <f t="shared" si="9"/>
        <v>173.91304347826087</v>
      </c>
      <c r="L35" s="63">
        <f t="shared" si="10"/>
        <v>82.051282051282058</v>
      </c>
      <c r="M35" s="61">
        <f t="shared" si="11"/>
        <v>57.655954631379956</v>
      </c>
      <c r="N35" s="76">
        <f t="shared" si="12"/>
        <v>173.91304347826087</v>
      </c>
      <c r="O35" s="75">
        <f t="shared" si="13"/>
        <v>164.10256410256412</v>
      </c>
      <c r="P35" s="61">
        <f t="shared" si="14"/>
        <v>57.655954631379956</v>
      </c>
      <c r="Q35" s="76">
        <f t="shared" si="15"/>
        <v>173.91304347826087</v>
      </c>
      <c r="R35" s="75">
        <f t="shared" si="16"/>
        <v>164.10256410256412</v>
      </c>
      <c r="S35" s="61">
        <f t="shared" si="17"/>
        <v>0</v>
      </c>
      <c r="T35" s="76">
        <f t="shared" si="18"/>
        <v>0</v>
      </c>
      <c r="U35" s="75">
        <f t="shared" si="19"/>
        <v>123.07692307692308</v>
      </c>
      <c r="W35" s="80">
        <f t="shared" si="20"/>
        <v>300</v>
      </c>
      <c r="X35" s="80">
        <f t="shared" si="20"/>
        <v>600</v>
      </c>
      <c r="Y35" s="80">
        <f t="shared" si="20"/>
        <v>800</v>
      </c>
      <c r="Z35" s="103">
        <v>100</v>
      </c>
      <c r="AA35" s="67">
        <v>200</v>
      </c>
      <c r="AB35" s="148">
        <v>200</v>
      </c>
      <c r="AC35" s="65">
        <v>100</v>
      </c>
      <c r="AD35" s="67">
        <v>200</v>
      </c>
      <c r="AE35" s="64">
        <v>200</v>
      </c>
      <c r="AF35" s="65">
        <v>100</v>
      </c>
      <c r="AG35" s="67">
        <v>200</v>
      </c>
      <c r="AH35" s="64">
        <v>200</v>
      </c>
      <c r="AI35" s="65">
        <v>0</v>
      </c>
      <c r="AJ35" s="67">
        <v>0</v>
      </c>
      <c r="AK35" s="104">
        <v>200</v>
      </c>
    </row>
    <row r="36" spans="1:37" ht="18.600000000000001" thickBot="1" x14ac:dyDescent="0.4">
      <c r="A36" s="41" t="s">
        <v>20</v>
      </c>
      <c r="B36" s="42" t="s">
        <v>63</v>
      </c>
      <c r="C36" s="43" t="s">
        <v>17</v>
      </c>
      <c r="D36" s="68">
        <v>200</v>
      </c>
      <c r="E36" s="69">
        <v>240</v>
      </c>
      <c r="F36" s="70">
        <v>160</v>
      </c>
      <c r="G36" s="80">
        <f t="shared" si="21"/>
        <v>230.62381852551982</v>
      </c>
      <c r="H36" s="125">
        <f t="shared" si="6"/>
        <v>521.73913043478262</v>
      </c>
      <c r="I36" s="163">
        <f t="shared" si="7"/>
        <v>266.66666666666669</v>
      </c>
      <c r="J36" s="61">
        <f t="shared" si="8"/>
        <v>115.31190926275991</v>
      </c>
      <c r="K36" s="66">
        <f t="shared" si="9"/>
        <v>173.91304347826087</v>
      </c>
      <c r="L36" s="63">
        <f t="shared" si="10"/>
        <v>41.025641025641029</v>
      </c>
      <c r="M36" s="61">
        <f t="shared" si="11"/>
        <v>57.655954631379956</v>
      </c>
      <c r="N36" s="76">
        <f t="shared" si="12"/>
        <v>173.91304347826087</v>
      </c>
      <c r="O36" s="75">
        <f t="shared" si="13"/>
        <v>82.051282051282058</v>
      </c>
      <c r="P36" s="61">
        <f t="shared" si="14"/>
        <v>57.655954631379956</v>
      </c>
      <c r="Q36" s="76">
        <f t="shared" si="15"/>
        <v>173.91304347826087</v>
      </c>
      <c r="R36" s="75">
        <f t="shared" si="16"/>
        <v>82.051282051282058</v>
      </c>
      <c r="S36" s="61">
        <f t="shared" si="17"/>
        <v>0</v>
      </c>
      <c r="T36" s="76">
        <f t="shared" si="18"/>
        <v>0</v>
      </c>
      <c r="U36" s="75">
        <f t="shared" si="19"/>
        <v>61.53846153846154</v>
      </c>
      <c r="W36" s="80">
        <f t="shared" si="20"/>
        <v>300</v>
      </c>
      <c r="X36" s="80">
        <f t="shared" si="20"/>
        <v>600</v>
      </c>
      <c r="Y36" s="80">
        <f t="shared" si="20"/>
        <v>400</v>
      </c>
      <c r="Z36" s="103">
        <v>100</v>
      </c>
      <c r="AA36" s="67">
        <v>200</v>
      </c>
      <c r="AB36" s="107">
        <v>100</v>
      </c>
      <c r="AC36" s="65">
        <v>100</v>
      </c>
      <c r="AD36" s="67">
        <v>200</v>
      </c>
      <c r="AE36" s="107">
        <v>100</v>
      </c>
      <c r="AF36" s="65">
        <v>100</v>
      </c>
      <c r="AG36" s="67">
        <v>200</v>
      </c>
      <c r="AH36" s="107">
        <v>100</v>
      </c>
      <c r="AI36" s="65">
        <v>0</v>
      </c>
      <c r="AJ36" s="67">
        <v>0</v>
      </c>
      <c r="AK36" s="109">
        <v>100</v>
      </c>
    </row>
    <row r="37" spans="1:37" x14ac:dyDescent="0.35">
      <c r="A37" s="44" t="s">
        <v>20</v>
      </c>
      <c r="B37" s="45" t="s">
        <v>18</v>
      </c>
      <c r="C37" s="46" t="s">
        <v>15</v>
      </c>
      <c r="D37" s="71">
        <v>200</v>
      </c>
      <c r="E37" s="66">
        <v>120</v>
      </c>
      <c r="F37" s="63">
        <v>640</v>
      </c>
      <c r="G37" s="80">
        <f t="shared" si="21"/>
        <v>332.70321361058598</v>
      </c>
      <c r="H37" s="125">
        <f t="shared" si="6"/>
        <v>260.86956521739131</v>
      </c>
      <c r="I37" s="163">
        <f t="shared" si="7"/>
        <v>1066.6666666666667</v>
      </c>
      <c r="J37" s="61">
        <f t="shared" si="8"/>
        <v>166.35160680529299</v>
      </c>
      <c r="K37" s="66">
        <f t="shared" si="9"/>
        <v>86.956521739130437</v>
      </c>
      <c r="L37" s="63">
        <f t="shared" si="10"/>
        <v>164.10256410256412</v>
      </c>
      <c r="M37" s="61">
        <f t="shared" si="11"/>
        <v>83.175803402646494</v>
      </c>
      <c r="N37" s="76">
        <f t="shared" si="12"/>
        <v>86.956521739130437</v>
      </c>
      <c r="O37" s="75">
        <f t="shared" si="13"/>
        <v>328.20512820512823</v>
      </c>
      <c r="P37" s="61">
        <f t="shared" si="14"/>
        <v>83.175803402646494</v>
      </c>
      <c r="Q37" s="76">
        <f t="shared" si="15"/>
        <v>86.956521739130437</v>
      </c>
      <c r="R37" s="75">
        <f t="shared" si="16"/>
        <v>328.20512820512823</v>
      </c>
      <c r="S37" s="61">
        <f t="shared" si="17"/>
        <v>0</v>
      </c>
      <c r="T37" s="76">
        <f t="shared" si="18"/>
        <v>0</v>
      </c>
      <c r="U37" s="75">
        <f t="shared" si="19"/>
        <v>246.15384615384616</v>
      </c>
      <c r="W37" s="80">
        <f>Z37+AC37+AF37+AI37</f>
        <v>400</v>
      </c>
      <c r="X37" s="80">
        <f t="shared" si="20"/>
        <v>300</v>
      </c>
      <c r="Y37" s="80">
        <f t="shared" si="20"/>
        <v>1400</v>
      </c>
      <c r="Z37" s="98">
        <v>200</v>
      </c>
      <c r="AA37" s="99">
        <v>100</v>
      </c>
      <c r="AB37" s="142">
        <v>300</v>
      </c>
      <c r="AC37" s="101">
        <v>100</v>
      </c>
      <c r="AD37" s="99">
        <v>100</v>
      </c>
      <c r="AE37" s="100">
        <v>400</v>
      </c>
      <c r="AF37" s="101">
        <v>100</v>
      </c>
      <c r="AG37" s="99">
        <v>100</v>
      </c>
      <c r="AH37" s="100">
        <v>400</v>
      </c>
      <c r="AI37" s="101">
        <v>0</v>
      </c>
      <c r="AJ37" s="99">
        <v>0</v>
      </c>
      <c r="AK37" s="102">
        <v>300</v>
      </c>
    </row>
    <row r="38" spans="1:37" x14ac:dyDescent="0.35">
      <c r="A38" s="44" t="s">
        <v>20</v>
      </c>
      <c r="B38" s="45" t="s">
        <v>18</v>
      </c>
      <c r="C38" s="46" t="s">
        <v>64</v>
      </c>
      <c r="D38" s="61">
        <v>200</v>
      </c>
      <c r="E38" s="66">
        <v>120</v>
      </c>
      <c r="F38" s="63">
        <v>320</v>
      </c>
      <c r="G38" s="80">
        <f t="shared" si="21"/>
        <v>332.70321361058598</v>
      </c>
      <c r="H38" s="125">
        <f t="shared" si="6"/>
        <v>260.86956521739131</v>
      </c>
      <c r="I38" s="163">
        <f t="shared" si="7"/>
        <v>533.33333333333337</v>
      </c>
      <c r="J38" s="61">
        <f t="shared" si="8"/>
        <v>166.35160680529299</v>
      </c>
      <c r="K38" s="66">
        <f t="shared" si="9"/>
        <v>86.956521739130437</v>
      </c>
      <c r="L38" s="63">
        <f t="shared" si="10"/>
        <v>82.051282051282058</v>
      </c>
      <c r="M38" s="61">
        <f t="shared" si="11"/>
        <v>83.175803402646494</v>
      </c>
      <c r="N38" s="76">
        <f t="shared" si="12"/>
        <v>86.956521739130437</v>
      </c>
      <c r="O38" s="75">
        <f t="shared" si="13"/>
        <v>164.10256410256412</v>
      </c>
      <c r="P38" s="61">
        <f t="shared" si="14"/>
        <v>83.175803402646494</v>
      </c>
      <c r="Q38" s="76">
        <f t="shared" si="15"/>
        <v>86.956521739130437</v>
      </c>
      <c r="R38" s="75">
        <f t="shared" si="16"/>
        <v>164.10256410256412</v>
      </c>
      <c r="S38" s="61">
        <f t="shared" si="17"/>
        <v>0</v>
      </c>
      <c r="T38" s="76">
        <f t="shared" si="18"/>
        <v>0</v>
      </c>
      <c r="U38" s="75">
        <f t="shared" si="19"/>
        <v>123.07692307692308</v>
      </c>
      <c r="W38" s="80">
        <f t="shared" si="20"/>
        <v>400</v>
      </c>
      <c r="X38" s="80">
        <f t="shared" si="20"/>
        <v>300</v>
      </c>
      <c r="Y38" s="80">
        <f t="shared" si="20"/>
        <v>800</v>
      </c>
      <c r="Z38" s="103">
        <v>200</v>
      </c>
      <c r="AA38" s="67">
        <v>100</v>
      </c>
      <c r="AB38" s="148">
        <v>200</v>
      </c>
      <c r="AC38" s="65">
        <v>100</v>
      </c>
      <c r="AD38" s="67">
        <v>100</v>
      </c>
      <c r="AE38" s="64">
        <v>200</v>
      </c>
      <c r="AF38" s="65">
        <v>100</v>
      </c>
      <c r="AG38" s="67">
        <v>100</v>
      </c>
      <c r="AH38" s="64">
        <v>200</v>
      </c>
      <c r="AI38" s="65">
        <v>0</v>
      </c>
      <c r="AJ38" s="67">
        <v>0</v>
      </c>
      <c r="AK38" s="104">
        <v>200</v>
      </c>
    </row>
    <row r="39" spans="1:37" ht="18.600000000000001" thickBot="1" x14ac:dyDescent="0.4">
      <c r="A39" s="47" t="s">
        <v>20</v>
      </c>
      <c r="B39" s="48" t="s">
        <v>18</v>
      </c>
      <c r="C39" s="49" t="s">
        <v>17</v>
      </c>
      <c r="D39" s="68">
        <v>200</v>
      </c>
      <c r="E39" s="69">
        <v>120</v>
      </c>
      <c r="F39" s="70">
        <v>160</v>
      </c>
      <c r="G39" s="126">
        <f t="shared" si="21"/>
        <v>332.70321361058598</v>
      </c>
      <c r="H39" s="127">
        <f t="shared" si="6"/>
        <v>260.86956521739131</v>
      </c>
      <c r="I39" s="163">
        <f t="shared" si="7"/>
        <v>266.66666666666669</v>
      </c>
      <c r="J39" s="68">
        <f t="shared" si="8"/>
        <v>166.35160680529299</v>
      </c>
      <c r="K39" s="69">
        <f t="shared" si="9"/>
        <v>86.956521739130437</v>
      </c>
      <c r="L39" s="70">
        <f t="shared" si="10"/>
        <v>41.025641025641029</v>
      </c>
      <c r="M39" s="68">
        <f t="shared" si="11"/>
        <v>83.175803402646494</v>
      </c>
      <c r="N39" s="78">
        <f t="shared" si="12"/>
        <v>86.956521739130437</v>
      </c>
      <c r="O39" s="79">
        <f t="shared" si="13"/>
        <v>82.051282051282058</v>
      </c>
      <c r="P39" s="68">
        <f t="shared" si="14"/>
        <v>83.175803402646494</v>
      </c>
      <c r="Q39" s="78">
        <f t="shared" si="15"/>
        <v>86.956521739130437</v>
      </c>
      <c r="R39" s="79">
        <f t="shared" si="16"/>
        <v>82.051282051282058</v>
      </c>
      <c r="S39" s="68">
        <f t="shared" si="17"/>
        <v>0</v>
      </c>
      <c r="T39" s="78">
        <f t="shared" si="18"/>
        <v>0</v>
      </c>
      <c r="U39" s="79">
        <f t="shared" si="19"/>
        <v>61.53846153846154</v>
      </c>
      <c r="W39" s="80">
        <f t="shared" si="20"/>
        <v>400</v>
      </c>
      <c r="X39" s="80">
        <f t="shared" si="20"/>
        <v>300</v>
      </c>
      <c r="Y39" s="80">
        <f t="shared" si="20"/>
        <v>400</v>
      </c>
      <c r="Z39" s="105">
        <v>200</v>
      </c>
      <c r="AA39" s="106">
        <v>100</v>
      </c>
      <c r="AB39" s="107">
        <v>100</v>
      </c>
      <c r="AC39" s="108">
        <v>100</v>
      </c>
      <c r="AD39" s="106">
        <v>100</v>
      </c>
      <c r="AE39" s="107">
        <v>100</v>
      </c>
      <c r="AF39" s="108">
        <v>100</v>
      </c>
      <c r="AG39" s="106">
        <v>100</v>
      </c>
      <c r="AH39" s="107">
        <v>100</v>
      </c>
      <c r="AI39" s="108">
        <v>0</v>
      </c>
      <c r="AJ39" s="106">
        <v>0</v>
      </c>
      <c r="AK39" s="109">
        <v>100</v>
      </c>
    </row>
    <row r="40" spans="1:37" x14ac:dyDescent="0.35">
      <c r="L40" s="51"/>
    </row>
  </sheetData>
  <mergeCells count="21">
    <mergeCell ref="D4:F4"/>
    <mergeCell ref="G4:I4"/>
    <mergeCell ref="D1:I1"/>
    <mergeCell ref="J1:L1"/>
    <mergeCell ref="M1:O1"/>
    <mergeCell ref="G3:I3"/>
    <mergeCell ref="J3:L3"/>
    <mergeCell ref="M3:O3"/>
    <mergeCell ref="D2:I2"/>
    <mergeCell ref="J2:L2"/>
    <mergeCell ref="M2:O2"/>
    <mergeCell ref="P1:R1"/>
    <mergeCell ref="S1:U1"/>
    <mergeCell ref="Z11:AB11"/>
    <mergeCell ref="AC11:AE11"/>
    <mergeCell ref="AF11:AH11"/>
    <mergeCell ref="AI11:AK11"/>
    <mergeCell ref="P3:R3"/>
    <mergeCell ref="S3:U3"/>
    <mergeCell ref="P2:R2"/>
    <mergeCell ref="S2:U2"/>
  </mergeCell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BA3F5-D135-4605-955E-AFD2586B44FE}">
  <sheetPr>
    <tabColor rgb="FFCCFFCC"/>
  </sheetPr>
  <dimension ref="A1:Y40"/>
  <sheetViews>
    <sheetView zoomScale="70" zoomScaleNormal="70" workbookViewId="0">
      <selection activeCell="I13" sqref="I13"/>
    </sheetView>
  </sheetViews>
  <sheetFormatPr defaultRowHeight="18" x14ac:dyDescent="0.35"/>
  <cols>
    <col min="1" max="1" width="6.109375" style="3" customWidth="1"/>
    <col min="2" max="2" width="7.5546875" style="3" customWidth="1"/>
    <col min="3" max="3" width="5.88671875" style="3" customWidth="1"/>
    <col min="4" max="4" width="6.77734375" style="3" customWidth="1"/>
    <col min="5" max="5" width="6.5546875" style="3" customWidth="1"/>
    <col min="6" max="6" width="7.21875" style="3" customWidth="1"/>
    <col min="7" max="7" width="6" style="3" bestFit="1" customWidth="1"/>
    <col min="8" max="8" width="7" style="3" bestFit="1" customWidth="1"/>
    <col min="9" max="10" width="6" style="3" bestFit="1" customWidth="1"/>
    <col min="11" max="11" width="7" style="3" bestFit="1" customWidth="1"/>
    <col min="12" max="13" width="6" style="3" bestFit="1" customWidth="1"/>
    <col min="14" max="14" width="7" style="3" bestFit="1" customWidth="1"/>
    <col min="15" max="15" width="6" style="3" bestFit="1" customWidth="1"/>
    <col min="16" max="16384" width="8.88671875" style="3"/>
  </cols>
  <sheetData>
    <row r="1" spans="1:25" ht="15" customHeight="1" x14ac:dyDescent="0.35">
      <c r="A1" s="1" t="s">
        <v>0</v>
      </c>
      <c r="B1" s="1" t="s">
        <v>2</v>
      </c>
      <c r="C1" s="2" t="s">
        <v>4</v>
      </c>
      <c r="D1" s="153" t="s">
        <v>5</v>
      </c>
      <c r="E1" s="153"/>
      <c r="F1" s="153"/>
      <c r="G1" s="153"/>
      <c r="H1" s="153"/>
      <c r="I1" s="154"/>
      <c r="J1" s="152" t="s">
        <v>43</v>
      </c>
      <c r="K1" s="153"/>
      <c r="L1" s="154"/>
      <c r="M1" s="152" t="s">
        <v>45</v>
      </c>
      <c r="N1" s="153"/>
      <c r="O1" s="154"/>
    </row>
    <row r="2" spans="1:25" ht="18.600000000000001" thickBot="1" x14ac:dyDescent="0.4">
      <c r="A2" s="4" t="s">
        <v>1</v>
      </c>
      <c r="B2" s="4" t="s">
        <v>3</v>
      </c>
      <c r="C2" s="5" t="s">
        <v>3</v>
      </c>
      <c r="D2" s="159" t="s">
        <v>6</v>
      </c>
      <c r="E2" s="159"/>
      <c r="F2" s="159"/>
      <c r="G2" s="159"/>
      <c r="H2" s="159"/>
      <c r="I2" s="160"/>
      <c r="J2" s="158" t="s">
        <v>44</v>
      </c>
      <c r="K2" s="159"/>
      <c r="L2" s="160"/>
      <c r="M2" s="158" t="s">
        <v>46</v>
      </c>
      <c r="N2" s="159"/>
      <c r="O2" s="160"/>
    </row>
    <row r="3" spans="1:25" ht="18.600000000000001" thickBot="1" x14ac:dyDescent="0.4">
      <c r="A3" s="6"/>
      <c r="B3" s="6"/>
      <c r="C3" s="7"/>
      <c r="D3" s="8" t="s">
        <v>30</v>
      </c>
      <c r="E3" s="9"/>
      <c r="F3" s="10"/>
      <c r="G3" s="155" t="s">
        <v>32</v>
      </c>
      <c r="H3" s="156"/>
      <c r="I3" s="157"/>
      <c r="J3" s="158" t="s">
        <v>50</v>
      </c>
      <c r="K3" s="159"/>
      <c r="L3" s="160"/>
      <c r="M3" s="158" t="s">
        <v>50</v>
      </c>
      <c r="N3" s="159"/>
      <c r="O3" s="160"/>
    </row>
    <row r="4" spans="1:25" ht="18.600000000000001" thickBot="1" x14ac:dyDescent="0.4">
      <c r="A4" s="6"/>
      <c r="B4" s="6"/>
      <c r="C4" s="7"/>
      <c r="D4" s="155" t="s">
        <v>31</v>
      </c>
      <c r="E4" s="156"/>
      <c r="F4" s="157"/>
      <c r="G4" s="155" t="s">
        <v>31</v>
      </c>
      <c r="H4" s="156"/>
      <c r="I4" s="157"/>
      <c r="J4" s="4"/>
      <c r="K4" s="11"/>
      <c r="L4" s="12"/>
      <c r="M4" s="4"/>
      <c r="N4" s="11"/>
      <c r="O4" s="12"/>
    </row>
    <row r="5" spans="1:25" ht="18.600000000000001" thickBot="1" x14ac:dyDescent="0.4">
      <c r="A5" s="13"/>
      <c r="B5" s="13"/>
      <c r="C5" s="14"/>
      <c r="D5" s="15" t="s">
        <v>7</v>
      </c>
      <c r="E5" s="15" t="s">
        <v>8</v>
      </c>
      <c r="F5" s="15" t="s">
        <v>9</v>
      </c>
      <c r="G5" s="16" t="s">
        <v>10</v>
      </c>
      <c r="H5" s="15" t="s">
        <v>11</v>
      </c>
      <c r="I5" s="162" t="s">
        <v>47</v>
      </c>
      <c r="J5" s="18" t="s">
        <v>10</v>
      </c>
      <c r="K5" s="15" t="s">
        <v>11</v>
      </c>
      <c r="L5" s="19" t="s">
        <v>47</v>
      </c>
      <c r="M5" s="18" t="s">
        <v>10</v>
      </c>
      <c r="N5" s="15" t="s">
        <v>11</v>
      </c>
      <c r="O5" s="19" t="s">
        <v>47</v>
      </c>
    </row>
    <row r="6" spans="1:25" ht="18.600000000000001" thickBot="1" x14ac:dyDescent="0.4">
      <c r="A6" s="13"/>
      <c r="B6" s="13" t="s">
        <v>33</v>
      </c>
      <c r="C6" s="50"/>
      <c r="D6" s="52">
        <v>75</v>
      </c>
      <c r="E6" s="52">
        <v>75</v>
      </c>
      <c r="F6" s="52">
        <v>150</v>
      </c>
      <c r="G6" s="53"/>
      <c r="H6" s="60">
        <f>0.15*400</f>
        <v>60</v>
      </c>
      <c r="I6" s="17"/>
      <c r="J6" s="18">
        <f>450/2</f>
        <v>225</v>
      </c>
      <c r="K6" s="52">
        <f>450/2</f>
        <v>225</v>
      </c>
      <c r="L6" s="19">
        <f>900/2</f>
        <v>450</v>
      </c>
      <c r="M6" s="18">
        <f>450/2</f>
        <v>225</v>
      </c>
      <c r="N6" s="52">
        <f>450/2</f>
        <v>225</v>
      </c>
      <c r="O6" s="19">
        <f>900/2</f>
        <v>450</v>
      </c>
    </row>
    <row r="7" spans="1:25" ht="18.600000000000001" thickBot="1" x14ac:dyDescent="0.4">
      <c r="A7" s="13"/>
      <c r="B7" s="13"/>
      <c r="C7" s="50"/>
      <c r="D7" s="55">
        <f t="shared" ref="D7:F8" si="0">SUM(J7,M7)</f>
        <v>2.25</v>
      </c>
      <c r="E7" s="55">
        <f t="shared" si="0"/>
        <v>2.25</v>
      </c>
      <c r="F7" s="55">
        <f t="shared" si="0"/>
        <v>4.5</v>
      </c>
      <c r="G7" s="54"/>
      <c r="H7" s="55"/>
      <c r="I7" s="56"/>
      <c r="J7" s="82">
        <f>J6/200</f>
        <v>1.125</v>
      </c>
      <c r="K7" s="83">
        <f>K6/200</f>
        <v>1.125</v>
      </c>
      <c r="L7" s="84">
        <f>L6/200</f>
        <v>2.25</v>
      </c>
      <c r="M7" s="82">
        <f t="shared" ref="M7:O7" si="1">M6/200</f>
        <v>1.125</v>
      </c>
      <c r="N7" s="83">
        <f t="shared" si="1"/>
        <v>1.125</v>
      </c>
      <c r="O7" s="84">
        <f t="shared" si="1"/>
        <v>2.25</v>
      </c>
      <c r="Q7" s="73"/>
    </row>
    <row r="8" spans="1:25" ht="18.600000000000001" thickBot="1" x14ac:dyDescent="0.4">
      <c r="A8" s="13"/>
      <c r="B8" s="13"/>
      <c r="C8" s="50"/>
      <c r="D8" s="55">
        <f t="shared" si="0"/>
        <v>2</v>
      </c>
      <c r="E8" s="55">
        <f t="shared" si="0"/>
        <v>1</v>
      </c>
      <c r="F8" s="55">
        <f t="shared" si="0"/>
        <v>3</v>
      </c>
      <c r="G8" s="54"/>
      <c r="H8" s="55"/>
      <c r="I8" s="56"/>
      <c r="J8" s="57">
        <v>2</v>
      </c>
      <c r="K8" s="55">
        <v>1</v>
      </c>
      <c r="L8" s="58">
        <v>2</v>
      </c>
      <c r="M8" s="57">
        <v>0</v>
      </c>
      <c r="N8" s="55">
        <v>0</v>
      </c>
      <c r="O8" s="58">
        <v>1</v>
      </c>
    </row>
    <row r="9" spans="1:25" ht="18.600000000000001" thickBot="1" x14ac:dyDescent="0.4">
      <c r="A9" s="13"/>
      <c r="B9" s="13" t="s">
        <v>34</v>
      </c>
      <c r="C9" s="50"/>
      <c r="D9" s="52">
        <v>100</v>
      </c>
      <c r="E9" s="52">
        <v>100</v>
      </c>
      <c r="F9" s="52">
        <v>200</v>
      </c>
      <c r="G9" s="59">
        <f>0.2*500</f>
        <v>100</v>
      </c>
      <c r="H9" s="60">
        <f>0.1*500</f>
        <v>50</v>
      </c>
      <c r="I9" s="17"/>
      <c r="J9" s="18">
        <f>600/2</f>
        <v>300</v>
      </c>
      <c r="K9" s="52">
        <f>600/2</f>
        <v>300</v>
      </c>
      <c r="L9" s="19">
        <f>1200/2</f>
        <v>600</v>
      </c>
      <c r="M9" s="18">
        <f>600/2</f>
        <v>300</v>
      </c>
      <c r="N9" s="52">
        <f>600/2</f>
        <v>300</v>
      </c>
      <c r="O9" s="19">
        <f>1200/2</f>
        <v>600</v>
      </c>
    </row>
    <row r="10" spans="1:25" ht="18.600000000000001" thickBot="1" x14ac:dyDescent="0.4">
      <c r="A10" s="13"/>
      <c r="B10" s="13"/>
      <c r="C10" s="50"/>
      <c r="D10" s="55">
        <f t="shared" ref="D10:F11" si="2">SUM(J10,M10)</f>
        <v>3</v>
      </c>
      <c r="E10" s="55">
        <f t="shared" si="2"/>
        <v>3</v>
      </c>
      <c r="F10" s="55">
        <f t="shared" si="2"/>
        <v>6</v>
      </c>
      <c r="G10" s="86">
        <f>AVERAGE(D7,D10)</f>
        <v>2.625</v>
      </c>
      <c r="H10" s="86">
        <f>AVERAGE(E7,E10)</f>
        <v>2.625</v>
      </c>
      <c r="I10" s="87">
        <f>AVERAGE(F7,F10)</f>
        <v>5.25</v>
      </c>
      <c r="J10" s="82">
        <f t="shared" ref="J10:O10" si="3">J9/200</f>
        <v>1.5</v>
      </c>
      <c r="K10" s="83">
        <f t="shared" si="3"/>
        <v>1.5</v>
      </c>
      <c r="L10" s="84">
        <f t="shared" si="3"/>
        <v>3</v>
      </c>
      <c r="M10" s="82">
        <f t="shared" si="3"/>
        <v>1.5</v>
      </c>
      <c r="N10" s="83">
        <f t="shared" si="3"/>
        <v>1.5</v>
      </c>
      <c r="O10" s="84">
        <f t="shared" si="3"/>
        <v>3</v>
      </c>
    </row>
    <row r="11" spans="1:25" ht="18.600000000000001" thickBot="1" x14ac:dyDescent="0.4">
      <c r="A11" s="13"/>
      <c r="B11" s="13"/>
      <c r="C11" s="50"/>
      <c r="D11" s="55">
        <f t="shared" si="2"/>
        <v>2</v>
      </c>
      <c r="E11" s="52">
        <f t="shared" si="2"/>
        <v>1</v>
      </c>
      <c r="F11" s="52">
        <f t="shared" si="2"/>
        <v>4</v>
      </c>
      <c r="G11" s="54"/>
      <c r="H11" s="55"/>
      <c r="I11" s="56"/>
      <c r="J11" s="57">
        <v>2</v>
      </c>
      <c r="K11" s="55">
        <v>1</v>
      </c>
      <c r="L11" s="58">
        <v>2</v>
      </c>
      <c r="M11" s="57">
        <v>0</v>
      </c>
      <c r="N11" s="55">
        <v>0</v>
      </c>
      <c r="O11" s="58">
        <v>2</v>
      </c>
      <c r="Q11" s="24" t="s">
        <v>61</v>
      </c>
      <c r="T11" s="152" t="s">
        <v>48</v>
      </c>
      <c r="U11" s="153"/>
      <c r="V11" s="154"/>
      <c r="W11" s="152" t="s">
        <v>49</v>
      </c>
      <c r="X11" s="153"/>
      <c r="Y11" s="154"/>
    </row>
    <row r="12" spans="1:25" ht="18.600000000000001" thickBot="1" x14ac:dyDescent="0.4">
      <c r="A12" s="20"/>
      <c r="B12" s="88" t="s">
        <v>35</v>
      </c>
      <c r="C12" s="81"/>
      <c r="D12" s="81"/>
      <c r="E12" s="81"/>
      <c r="F12" s="81"/>
      <c r="G12" s="86">
        <f>SUM(J12,M12)</f>
        <v>2.625</v>
      </c>
      <c r="H12" s="86">
        <f>SUM(K12,N12)</f>
        <v>2.625</v>
      </c>
      <c r="I12" s="87">
        <f>SUM(L12,O12)</f>
        <v>5.25</v>
      </c>
      <c r="J12" s="97">
        <f>AVERAGE(J7,J10)</f>
        <v>1.3125</v>
      </c>
      <c r="K12" s="89">
        <f>AVERAGE(K7,K10)</f>
        <v>1.3125</v>
      </c>
      <c r="L12" s="90">
        <f>AVERAGE(L7,L10)</f>
        <v>2.625</v>
      </c>
      <c r="M12" s="94">
        <f t="shared" ref="M12:O12" si="4">AVERAGE(M7,M10)</f>
        <v>1.3125</v>
      </c>
      <c r="N12" s="95">
        <f t="shared" si="4"/>
        <v>1.3125</v>
      </c>
      <c r="O12" s="96">
        <f t="shared" si="4"/>
        <v>2.625</v>
      </c>
      <c r="T12" s="110" t="s">
        <v>10</v>
      </c>
      <c r="U12" s="110" t="s">
        <v>11</v>
      </c>
      <c r="V12" s="110" t="s">
        <v>47</v>
      </c>
      <c r="W12" s="110" t="s">
        <v>10</v>
      </c>
      <c r="X12" s="110" t="s">
        <v>11</v>
      </c>
      <c r="Y12" s="110" t="s">
        <v>47</v>
      </c>
    </row>
    <row r="13" spans="1:25" x14ac:dyDescent="0.35">
      <c r="A13" s="21" t="s">
        <v>40</v>
      </c>
      <c r="B13" s="22" t="s">
        <v>14</v>
      </c>
      <c r="C13" s="21" t="s">
        <v>15</v>
      </c>
      <c r="D13" s="61">
        <v>1200</v>
      </c>
      <c r="E13" s="62">
        <v>500</v>
      </c>
      <c r="F13" s="63">
        <v>1000</v>
      </c>
      <c r="G13" s="80">
        <f>(D13-(H13*(18/100)))*(100/46)</f>
        <v>2183.3648393194703</v>
      </c>
      <c r="H13" s="123">
        <f>E13*(100/46)</f>
        <v>1086.9565217391303</v>
      </c>
      <c r="I13" s="124">
        <f>F13*(100/60)</f>
        <v>1666.6666666666667</v>
      </c>
      <c r="J13" s="61">
        <f>((D13/2)-(K13*(18/100)))*(100/46)</f>
        <v>1091.6824196597352</v>
      </c>
      <c r="K13" s="62">
        <f>(E13/2)*(100/46)</f>
        <v>543.47826086956513</v>
      </c>
      <c r="L13" s="63">
        <f>(F13/2)*(100/60)</f>
        <v>833.33333333333337</v>
      </c>
      <c r="M13" s="61">
        <f>((D13/2)-(N13*(18/100)))*(100/46)</f>
        <v>1091.6824196597352</v>
      </c>
      <c r="N13" s="74">
        <f>(E13/2)*(100/46)</f>
        <v>543.47826086956513</v>
      </c>
      <c r="O13" s="63">
        <f>(F13/2)*(100/60)</f>
        <v>833.33333333333337</v>
      </c>
      <c r="Q13" s="80">
        <f>T13+W13</f>
        <v>2200</v>
      </c>
      <c r="R13" s="80">
        <f>U13+X13</f>
        <v>1100</v>
      </c>
      <c r="S13" s="80">
        <f>V13+Y13</f>
        <v>1600</v>
      </c>
      <c r="T13" s="134">
        <v>1100</v>
      </c>
      <c r="U13" s="99">
        <v>500</v>
      </c>
      <c r="V13" s="100">
        <v>800</v>
      </c>
      <c r="W13" s="134">
        <v>1100</v>
      </c>
      <c r="X13" s="139">
        <v>600</v>
      </c>
      <c r="Y13" s="100">
        <v>800</v>
      </c>
    </row>
    <row r="14" spans="1:25" x14ac:dyDescent="0.35">
      <c r="A14" s="23" t="s">
        <v>40</v>
      </c>
      <c r="B14" s="22" t="s">
        <v>14</v>
      </c>
      <c r="C14" s="23" t="s">
        <v>64</v>
      </c>
      <c r="D14" s="61">
        <v>1200</v>
      </c>
      <c r="E14" s="66">
        <v>500</v>
      </c>
      <c r="F14" s="63">
        <v>500</v>
      </c>
      <c r="G14" s="80">
        <f t="shared" ref="G14:G39" si="5">(D14-(H14*(18/100)))*(100/46)</f>
        <v>2183.3648393194703</v>
      </c>
      <c r="H14" s="125">
        <f t="shared" ref="H14:H39" si="6">E14*(100/46)</f>
        <v>1086.9565217391303</v>
      </c>
      <c r="I14" s="124">
        <f t="shared" ref="I14:I39" si="7">F14*(100/60)</f>
        <v>833.33333333333337</v>
      </c>
      <c r="J14" s="61">
        <f t="shared" ref="J14:J39" si="8">((D14/2)-(K14*(18/100)))*(100/46)</f>
        <v>1091.6824196597352</v>
      </c>
      <c r="K14" s="66">
        <f t="shared" ref="K14:K39" si="9">(E14/2)*(100/46)</f>
        <v>543.47826086956513</v>
      </c>
      <c r="L14" s="63">
        <f t="shared" ref="L14:L39" si="10">(F14/2)*(100/60)</f>
        <v>416.66666666666669</v>
      </c>
      <c r="M14" s="61">
        <f t="shared" ref="M14:M39" si="11">((D14/2)-(N14*(18/100)))*(100/46)</f>
        <v>1091.6824196597352</v>
      </c>
      <c r="N14" s="76">
        <f t="shared" ref="N14:N39" si="12">(E14/2)*(100/46)</f>
        <v>543.47826086956513</v>
      </c>
      <c r="O14" s="75">
        <f t="shared" ref="O14:O39" si="13">(F14/2)*(100/60)</f>
        <v>416.66666666666669</v>
      </c>
      <c r="Q14" s="80">
        <f t="shared" ref="Q14:Q39" si="14">T14+W14</f>
        <v>2200</v>
      </c>
      <c r="R14" s="80">
        <f t="shared" ref="R14:R39" si="15">U14+X14</f>
        <v>1100</v>
      </c>
      <c r="S14" s="80">
        <f t="shared" ref="S14:S39" si="16">V14+Y14</f>
        <v>800</v>
      </c>
      <c r="T14" s="135">
        <v>1100</v>
      </c>
      <c r="U14" s="67">
        <v>500</v>
      </c>
      <c r="V14" s="64">
        <v>400</v>
      </c>
      <c r="W14" s="135">
        <v>1100</v>
      </c>
      <c r="X14" s="140">
        <v>600</v>
      </c>
      <c r="Y14" s="64">
        <v>400</v>
      </c>
    </row>
    <row r="15" spans="1:25" s="24" customFormat="1" ht="18.600000000000001" thickBot="1" x14ac:dyDescent="0.4">
      <c r="A15" s="23" t="s">
        <v>40</v>
      </c>
      <c r="B15" s="22" t="s">
        <v>14</v>
      </c>
      <c r="C15" s="23" t="s">
        <v>17</v>
      </c>
      <c r="D15" s="68">
        <v>1200</v>
      </c>
      <c r="E15" s="69">
        <v>500</v>
      </c>
      <c r="F15" s="70">
        <v>250</v>
      </c>
      <c r="G15" s="80">
        <f t="shared" si="5"/>
        <v>2183.3648393194703</v>
      </c>
      <c r="H15" s="125">
        <f t="shared" si="6"/>
        <v>1086.9565217391303</v>
      </c>
      <c r="I15" s="124">
        <f t="shared" si="7"/>
        <v>416.66666666666669</v>
      </c>
      <c r="J15" s="61">
        <f t="shared" si="8"/>
        <v>1091.6824196597352</v>
      </c>
      <c r="K15" s="66">
        <f t="shared" si="9"/>
        <v>543.47826086956513</v>
      </c>
      <c r="L15" s="63">
        <f t="shared" si="10"/>
        <v>208.33333333333334</v>
      </c>
      <c r="M15" s="61">
        <f t="shared" si="11"/>
        <v>1091.6824196597352</v>
      </c>
      <c r="N15" s="76">
        <f t="shared" si="12"/>
        <v>543.47826086956513</v>
      </c>
      <c r="O15" s="75">
        <f t="shared" si="13"/>
        <v>208.33333333333334</v>
      </c>
      <c r="Q15" s="80">
        <f t="shared" si="14"/>
        <v>2200</v>
      </c>
      <c r="R15" s="80">
        <f t="shared" si="15"/>
        <v>1100</v>
      </c>
      <c r="S15" s="80">
        <f t="shared" si="16"/>
        <v>400</v>
      </c>
      <c r="T15" s="136">
        <v>1100</v>
      </c>
      <c r="U15" s="106">
        <v>500</v>
      </c>
      <c r="V15" s="107">
        <v>200</v>
      </c>
      <c r="W15" s="136">
        <v>1100</v>
      </c>
      <c r="X15" s="141">
        <v>600</v>
      </c>
      <c r="Y15" s="107">
        <v>200</v>
      </c>
    </row>
    <row r="16" spans="1:25" x14ac:dyDescent="0.35">
      <c r="A16" s="25" t="s">
        <v>40</v>
      </c>
      <c r="B16" s="26" t="s">
        <v>63</v>
      </c>
      <c r="C16" s="25" t="s">
        <v>15</v>
      </c>
      <c r="D16" s="71">
        <v>1200</v>
      </c>
      <c r="E16" s="62">
        <v>250</v>
      </c>
      <c r="F16" s="72">
        <v>1000</v>
      </c>
      <c r="G16" s="80">
        <f t="shared" si="5"/>
        <v>2396.0302457466919</v>
      </c>
      <c r="H16" s="125">
        <f t="shared" si="6"/>
        <v>543.47826086956513</v>
      </c>
      <c r="I16" s="124">
        <f t="shared" si="7"/>
        <v>1666.6666666666667</v>
      </c>
      <c r="J16" s="61">
        <f t="shared" si="8"/>
        <v>1198.0151228733459</v>
      </c>
      <c r="K16" s="66">
        <f t="shared" si="9"/>
        <v>271.73913043478257</v>
      </c>
      <c r="L16" s="63">
        <f t="shared" si="10"/>
        <v>833.33333333333337</v>
      </c>
      <c r="M16" s="61">
        <f t="shared" si="11"/>
        <v>1198.0151228733459</v>
      </c>
      <c r="N16" s="76">
        <f t="shared" si="12"/>
        <v>271.73913043478257</v>
      </c>
      <c r="O16" s="75">
        <f t="shared" si="13"/>
        <v>833.33333333333337</v>
      </c>
      <c r="Q16" s="80">
        <f t="shared" si="14"/>
        <v>2400</v>
      </c>
      <c r="R16" s="80">
        <f t="shared" si="15"/>
        <v>600</v>
      </c>
      <c r="S16" s="80">
        <f t="shared" si="16"/>
        <v>1600</v>
      </c>
      <c r="T16" s="134">
        <v>1200</v>
      </c>
      <c r="U16" s="67">
        <v>300</v>
      </c>
      <c r="V16" s="100">
        <v>800</v>
      </c>
      <c r="W16" s="134">
        <v>1200</v>
      </c>
      <c r="X16" s="67">
        <v>300</v>
      </c>
      <c r="Y16" s="100">
        <v>800</v>
      </c>
    </row>
    <row r="17" spans="1:25" x14ac:dyDescent="0.35">
      <c r="A17" s="25" t="s">
        <v>40</v>
      </c>
      <c r="B17" s="26" t="s">
        <v>63</v>
      </c>
      <c r="C17" s="25" t="s">
        <v>64</v>
      </c>
      <c r="D17" s="61">
        <v>1200</v>
      </c>
      <c r="E17" s="66">
        <v>250</v>
      </c>
      <c r="F17" s="63">
        <v>500</v>
      </c>
      <c r="G17" s="80">
        <f t="shared" si="5"/>
        <v>2396.0302457466919</v>
      </c>
      <c r="H17" s="125">
        <f t="shared" si="6"/>
        <v>543.47826086956513</v>
      </c>
      <c r="I17" s="124">
        <f t="shared" si="7"/>
        <v>833.33333333333337</v>
      </c>
      <c r="J17" s="61">
        <f t="shared" si="8"/>
        <v>1198.0151228733459</v>
      </c>
      <c r="K17" s="66">
        <f t="shared" si="9"/>
        <v>271.73913043478257</v>
      </c>
      <c r="L17" s="63">
        <f t="shared" si="10"/>
        <v>416.66666666666669</v>
      </c>
      <c r="M17" s="61">
        <f t="shared" si="11"/>
        <v>1198.0151228733459</v>
      </c>
      <c r="N17" s="76">
        <f t="shared" si="12"/>
        <v>271.73913043478257</v>
      </c>
      <c r="O17" s="75">
        <f t="shared" si="13"/>
        <v>416.66666666666669</v>
      </c>
      <c r="Q17" s="80">
        <f t="shared" si="14"/>
        <v>2400</v>
      </c>
      <c r="R17" s="80">
        <f t="shared" si="15"/>
        <v>600</v>
      </c>
      <c r="S17" s="80">
        <f t="shared" si="16"/>
        <v>800</v>
      </c>
      <c r="T17" s="103">
        <v>1200</v>
      </c>
      <c r="U17" s="67">
        <v>300</v>
      </c>
      <c r="V17" s="64">
        <v>400</v>
      </c>
      <c r="W17" s="103">
        <v>1200</v>
      </c>
      <c r="X17" s="67">
        <v>300</v>
      </c>
      <c r="Y17" s="64">
        <v>400</v>
      </c>
    </row>
    <row r="18" spans="1:25" ht="18.600000000000001" thickBot="1" x14ac:dyDescent="0.4">
      <c r="A18" s="25" t="s">
        <v>40</v>
      </c>
      <c r="B18" s="26" t="s">
        <v>63</v>
      </c>
      <c r="C18" s="25" t="s">
        <v>17</v>
      </c>
      <c r="D18" s="68">
        <v>1200</v>
      </c>
      <c r="E18" s="69">
        <v>250</v>
      </c>
      <c r="F18" s="70">
        <v>250</v>
      </c>
      <c r="G18" s="80">
        <f t="shared" si="5"/>
        <v>2396.0302457466919</v>
      </c>
      <c r="H18" s="125">
        <f t="shared" si="6"/>
        <v>543.47826086956513</v>
      </c>
      <c r="I18" s="124">
        <f t="shared" si="7"/>
        <v>416.66666666666669</v>
      </c>
      <c r="J18" s="61">
        <f t="shared" si="8"/>
        <v>1198.0151228733459</v>
      </c>
      <c r="K18" s="66">
        <f t="shared" si="9"/>
        <v>271.73913043478257</v>
      </c>
      <c r="L18" s="63">
        <f t="shared" si="10"/>
        <v>208.33333333333334</v>
      </c>
      <c r="M18" s="61">
        <f t="shared" si="11"/>
        <v>1198.0151228733459</v>
      </c>
      <c r="N18" s="76">
        <f t="shared" si="12"/>
        <v>271.73913043478257</v>
      </c>
      <c r="O18" s="75">
        <f t="shared" si="13"/>
        <v>208.33333333333334</v>
      </c>
      <c r="Q18" s="80">
        <f t="shared" si="14"/>
        <v>2400</v>
      </c>
      <c r="R18" s="80">
        <f t="shared" si="15"/>
        <v>600</v>
      </c>
      <c r="S18" s="80">
        <f t="shared" si="16"/>
        <v>400</v>
      </c>
      <c r="T18" s="103">
        <v>1200</v>
      </c>
      <c r="U18" s="67">
        <v>300</v>
      </c>
      <c r="V18" s="107">
        <v>200</v>
      </c>
      <c r="W18" s="103">
        <v>1200</v>
      </c>
      <c r="X18" s="67">
        <v>300</v>
      </c>
      <c r="Y18" s="107">
        <v>200</v>
      </c>
    </row>
    <row r="19" spans="1:25" x14ac:dyDescent="0.35">
      <c r="A19" s="27" t="s">
        <v>40</v>
      </c>
      <c r="B19" s="28" t="s">
        <v>18</v>
      </c>
      <c r="C19" s="27" t="s">
        <v>15</v>
      </c>
      <c r="D19" s="61">
        <v>1200</v>
      </c>
      <c r="E19" s="66">
        <v>125</v>
      </c>
      <c r="F19" s="63">
        <v>1000</v>
      </c>
      <c r="G19" s="80">
        <f t="shared" si="5"/>
        <v>2502.3629489603027</v>
      </c>
      <c r="H19" s="125">
        <f t="shared" si="6"/>
        <v>271.73913043478257</v>
      </c>
      <c r="I19" s="124">
        <f t="shared" si="7"/>
        <v>1666.6666666666667</v>
      </c>
      <c r="J19" s="61">
        <f t="shared" si="8"/>
        <v>1251.1814744801513</v>
      </c>
      <c r="K19" s="66">
        <f t="shared" si="9"/>
        <v>135.86956521739128</v>
      </c>
      <c r="L19" s="63">
        <f t="shared" si="10"/>
        <v>833.33333333333337</v>
      </c>
      <c r="M19" s="61">
        <f t="shared" si="11"/>
        <v>1251.1814744801513</v>
      </c>
      <c r="N19" s="76">
        <f t="shared" si="12"/>
        <v>135.86956521739128</v>
      </c>
      <c r="O19" s="75">
        <f t="shared" si="13"/>
        <v>833.33333333333337</v>
      </c>
      <c r="Q19" s="80">
        <f t="shared" si="14"/>
        <v>2500</v>
      </c>
      <c r="R19" s="80">
        <f t="shared" si="15"/>
        <v>300</v>
      </c>
      <c r="S19" s="80">
        <f t="shared" si="16"/>
        <v>1600</v>
      </c>
      <c r="T19" s="98">
        <v>1300</v>
      </c>
      <c r="U19" s="99">
        <v>100</v>
      </c>
      <c r="V19" s="100">
        <v>800</v>
      </c>
      <c r="W19" s="150">
        <v>1200</v>
      </c>
      <c r="X19" s="139">
        <v>200</v>
      </c>
      <c r="Y19" s="100">
        <v>800</v>
      </c>
    </row>
    <row r="20" spans="1:25" x14ac:dyDescent="0.35">
      <c r="A20" s="27" t="s">
        <v>40</v>
      </c>
      <c r="B20" s="28" t="s">
        <v>18</v>
      </c>
      <c r="C20" s="27" t="s">
        <v>64</v>
      </c>
      <c r="D20" s="61">
        <v>1200</v>
      </c>
      <c r="E20" s="66">
        <v>125</v>
      </c>
      <c r="F20" s="63">
        <v>500</v>
      </c>
      <c r="G20" s="80">
        <f t="shared" si="5"/>
        <v>2502.3629489603027</v>
      </c>
      <c r="H20" s="125">
        <f t="shared" si="6"/>
        <v>271.73913043478257</v>
      </c>
      <c r="I20" s="124">
        <f t="shared" si="7"/>
        <v>833.33333333333337</v>
      </c>
      <c r="J20" s="61">
        <f t="shared" si="8"/>
        <v>1251.1814744801513</v>
      </c>
      <c r="K20" s="66">
        <f t="shared" si="9"/>
        <v>135.86956521739128</v>
      </c>
      <c r="L20" s="63">
        <f t="shared" si="10"/>
        <v>416.66666666666669</v>
      </c>
      <c r="M20" s="61">
        <f t="shared" si="11"/>
        <v>1251.1814744801513</v>
      </c>
      <c r="N20" s="76">
        <f t="shared" si="12"/>
        <v>135.86956521739128</v>
      </c>
      <c r="O20" s="75">
        <f t="shared" si="13"/>
        <v>416.66666666666669</v>
      </c>
      <c r="Q20" s="80">
        <f t="shared" si="14"/>
        <v>2500</v>
      </c>
      <c r="R20" s="80">
        <f t="shared" si="15"/>
        <v>300</v>
      </c>
      <c r="S20" s="80">
        <f t="shared" si="16"/>
        <v>800</v>
      </c>
      <c r="T20" s="103">
        <v>1300</v>
      </c>
      <c r="U20" s="67">
        <v>100</v>
      </c>
      <c r="V20" s="64">
        <v>400</v>
      </c>
      <c r="W20" s="149">
        <v>1200</v>
      </c>
      <c r="X20" s="140">
        <v>200</v>
      </c>
      <c r="Y20" s="64">
        <v>400</v>
      </c>
    </row>
    <row r="21" spans="1:25" ht="18.600000000000001" thickBot="1" x14ac:dyDescent="0.4">
      <c r="A21" s="27" t="s">
        <v>40</v>
      </c>
      <c r="B21" s="28" t="s">
        <v>18</v>
      </c>
      <c r="C21" s="27" t="s">
        <v>17</v>
      </c>
      <c r="D21" s="68">
        <v>1200</v>
      </c>
      <c r="E21" s="69">
        <v>125</v>
      </c>
      <c r="F21" s="70">
        <v>250</v>
      </c>
      <c r="G21" s="80">
        <f t="shared" si="5"/>
        <v>2502.3629489603027</v>
      </c>
      <c r="H21" s="125">
        <f t="shared" si="6"/>
        <v>271.73913043478257</v>
      </c>
      <c r="I21" s="124">
        <f t="shared" si="7"/>
        <v>416.66666666666669</v>
      </c>
      <c r="J21" s="61">
        <f t="shared" si="8"/>
        <v>1251.1814744801513</v>
      </c>
      <c r="K21" s="66">
        <f t="shared" si="9"/>
        <v>135.86956521739128</v>
      </c>
      <c r="L21" s="63">
        <f t="shared" si="10"/>
        <v>208.33333333333334</v>
      </c>
      <c r="M21" s="61">
        <f t="shared" si="11"/>
        <v>1251.1814744801513</v>
      </c>
      <c r="N21" s="76">
        <f t="shared" si="12"/>
        <v>135.86956521739128</v>
      </c>
      <c r="O21" s="75">
        <f t="shared" si="13"/>
        <v>208.33333333333334</v>
      </c>
      <c r="Q21" s="80">
        <f t="shared" si="14"/>
        <v>2500</v>
      </c>
      <c r="R21" s="80">
        <f t="shared" si="15"/>
        <v>300</v>
      </c>
      <c r="S21" s="80">
        <f t="shared" si="16"/>
        <v>400</v>
      </c>
      <c r="T21" s="105">
        <v>1300</v>
      </c>
      <c r="U21" s="106">
        <v>100</v>
      </c>
      <c r="V21" s="107">
        <v>200</v>
      </c>
      <c r="W21" s="151">
        <v>1200</v>
      </c>
      <c r="X21" s="141">
        <v>200</v>
      </c>
      <c r="Y21" s="107">
        <v>200</v>
      </c>
    </row>
    <row r="22" spans="1:25" x14ac:dyDescent="0.35">
      <c r="A22" s="29" t="s">
        <v>41</v>
      </c>
      <c r="B22" s="30" t="s">
        <v>14</v>
      </c>
      <c r="C22" s="31" t="s">
        <v>15</v>
      </c>
      <c r="D22" s="71">
        <v>600</v>
      </c>
      <c r="E22" s="62">
        <v>500</v>
      </c>
      <c r="F22" s="63">
        <v>1000</v>
      </c>
      <c r="G22" s="80">
        <f t="shared" si="5"/>
        <v>879.01701323251416</v>
      </c>
      <c r="H22" s="125">
        <f t="shared" si="6"/>
        <v>1086.9565217391303</v>
      </c>
      <c r="I22" s="124">
        <f t="shared" si="7"/>
        <v>1666.6666666666667</v>
      </c>
      <c r="J22" s="61">
        <f t="shared" si="8"/>
        <v>439.50850661625708</v>
      </c>
      <c r="K22" s="66">
        <f t="shared" si="9"/>
        <v>543.47826086956513</v>
      </c>
      <c r="L22" s="63">
        <f t="shared" si="10"/>
        <v>833.33333333333337</v>
      </c>
      <c r="M22" s="61">
        <f t="shared" si="11"/>
        <v>439.50850661625708</v>
      </c>
      <c r="N22" s="76">
        <f t="shared" si="12"/>
        <v>543.47826086956513</v>
      </c>
      <c r="O22" s="75">
        <f t="shared" si="13"/>
        <v>833.33333333333337</v>
      </c>
      <c r="Q22" s="80">
        <f t="shared" si="14"/>
        <v>900</v>
      </c>
      <c r="R22" s="80">
        <f t="shared" si="15"/>
        <v>1100</v>
      </c>
      <c r="S22" s="80">
        <f t="shared" si="16"/>
        <v>1600</v>
      </c>
      <c r="T22" s="149">
        <v>500</v>
      </c>
      <c r="U22" s="99">
        <v>500</v>
      </c>
      <c r="V22" s="100">
        <v>800</v>
      </c>
      <c r="W22" s="103">
        <v>400</v>
      </c>
      <c r="X22" s="139">
        <v>600</v>
      </c>
      <c r="Y22" s="100">
        <v>800</v>
      </c>
    </row>
    <row r="23" spans="1:25" x14ac:dyDescent="0.35">
      <c r="A23" s="29" t="s">
        <v>41</v>
      </c>
      <c r="B23" s="30" t="s">
        <v>14</v>
      </c>
      <c r="C23" s="31" t="s">
        <v>64</v>
      </c>
      <c r="D23" s="61">
        <v>600</v>
      </c>
      <c r="E23" s="66">
        <v>500</v>
      </c>
      <c r="F23" s="63">
        <v>500</v>
      </c>
      <c r="G23" s="80">
        <f t="shared" si="5"/>
        <v>879.01701323251416</v>
      </c>
      <c r="H23" s="125">
        <f t="shared" si="6"/>
        <v>1086.9565217391303</v>
      </c>
      <c r="I23" s="124">
        <f t="shared" si="7"/>
        <v>833.33333333333337</v>
      </c>
      <c r="J23" s="61">
        <f t="shared" si="8"/>
        <v>439.50850661625708</v>
      </c>
      <c r="K23" s="66">
        <f t="shared" si="9"/>
        <v>543.47826086956513</v>
      </c>
      <c r="L23" s="63">
        <f t="shared" si="10"/>
        <v>416.66666666666669</v>
      </c>
      <c r="M23" s="61">
        <f t="shared" si="11"/>
        <v>439.50850661625708</v>
      </c>
      <c r="N23" s="76">
        <f t="shared" si="12"/>
        <v>543.47826086956513</v>
      </c>
      <c r="O23" s="75">
        <f t="shared" si="13"/>
        <v>416.66666666666669</v>
      </c>
      <c r="Q23" s="80">
        <f t="shared" si="14"/>
        <v>900</v>
      </c>
      <c r="R23" s="80">
        <f t="shared" si="15"/>
        <v>1100</v>
      </c>
      <c r="S23" s="80">
        <f t="shared" si="16"/>
        <v>800</v>
      </c>
      <c r="T23" s="149">
        <v>500</v>
      </c>
      <c r="U23" s="67">
        <v>500</v>
      </c>
      <c r="V23" s="64">
        <v>400</v>
      </c>
      <c r="W23" s="103">
        <v>400</v>
      </c>
      <c r="X23" s="140">
        <v>600</v>
      </c>
      <c r="Y23" s="64">
        <v>400</v>
      </c>
    </row>
    <row r="24" spans="1:25" ht="18.600000000000001" thickBot="1" x14ac:dyDescent="0.4">
      <c r="A24" s="29" t="s">
        <v>41</v>
      </c>
      <c r="B24" s="30" t="s">
        <v>14</v>
      </c>
      <c r="C24" s="31" t="s">
        <v>17</v>
      </c>
      <c r="D24" s="68">
        <v>600</v>
      </c>
      <c r="E24" s="69">
        <v>500</v>
      </c>
      <c r="F24" s="70">
        <v>250</v>
      </c>
      <c r="G24" s="80">
        <f t="shared" si="5"/>
        <v>879.01701323251416</v>
      </c>
      <c r="H24" s="125">
        <f t="shared" si="6"/>
        <v>1086.9565217391303</v>
      </c>
      <c r="I24" s="124">
        <f t="shared" si="7"/>
        <v>416.66666666666669</v>
      </c>
      <c r="J24" s="61">
        <f t="shared" si="8"/>
        <v>439.50850661625708</v>
      </c>
      <c r="K24" s="66">
        <f t="shared" si="9"/>
        <v>543.47826086956513</v>
      </c>
      <c r="L24" s="63">
        <f t="shared" si="10"/>
        <v>208.33333333333334</v>
      </c>
      <c r="M24" s="61">
        <f t="shared" si="11"/>
        <v>439.50850661625708</v>
      </c>
      <c r="N24" s="76">
        <f t="shared" si="12"/>
        <v>543.47826086956513</v>
      </c>
      <c r="O24" s="75">
        <f t="shared" si="13"/>
        <v>208.33333333333334</v>
      </c>
      <c r="Q24" s="80">
        <f t="shared" si="14"/>
        <v>900</v>
      </c>
      <c r="R24" s="80">
        <f t="shared" si="15"/>
        <v>1100</v>
      </c>
      <c r="S24" s="80">
        <f t="shared" si="16"/>
        <v>400</v>
      </c>
      <c r="T24" s="149">
        <v>500</v>
      </c>
      <c r="U24" s="106">
        <v>500</v>
      </c>
      <c r="V24" s="107">
        <v>200</v>
      </c>
      <c r="W24" s="103">
        <v>400</v>
      </c>
      <c r="X24" s="141">
        <v>600</v>
      </c>
      <c r="Y24" s="107">
        <v>200</v>
      </c>
    </row>
    <row r="25" spans="1:25" x14ac:dyDescent="0.35">
      <c r="A25" s="32" t="s">
        <v>41</v>
      </c>
      <c r="B25" s="33" t="s">
        <v>63</v>
      </c>
      <c r="C25" s="34" t="s">
        <v>15</v>
      </c>
      <c r="D25" s="61">
        <v>600</v>
      </c>
      <c r="E25" s="62">
        <v>250</v>
      </c>
      <c r="F25" s="72">
        <v>1000</v>
      </c>
      <c r="G25" s="80">
        <f t="shared" si="5"/>
        <v>1091.6824196597352</v>
      </c>
      <c r="H25" s="125">
        <f t="shared" si="6"/>
        <v>543.47826086956513</v>
      </c>
      <c r="I25" s="124">
        <f t="shared" si="7"/>
        <v>1666.6666666666667</v>
      </c>
      <c r="J25" s="61">
        <f t="shared" si="8"/>
        <v>545.84120982986758</v>
      </c>
      <c r="K25" s="66">
        <f t="shared" si="9"/>
        <v>271.73913043478257</v>
      </c>
      <c r="L25" s="63">
        <f t="shared" si="10"/>
        <v>833.33333333333337</v>
      </c>
      <c r="M25" s="61">
        <f t="shared" si="11"/>
        <v>545.84120982986758</v>
      </c>
      <c r="N25" s="76">
        <f t="shared" si="12"/>
        <v>271.73913043478257</v>
      </c>
      <c r="O25" s="75">
        <f t="shared" si="13"/>
        <v>833.33333333333337</v>
      </c>
      <c r="Q25" s="80">
        <f t="shared" si="14"/>
        <v>1100</v>
      </c>
      <c r="R25" s="80">
        <f t="shared" si="15"/>
        <v>600</v>
      </c>
      <c r="S25" s="80">
        <f t="shared" si="16"/>
        <v>1600</v>
      </c>
      <c r="T25" s="150">
        <v>600</v>
      </c>
      <c r="U25" s="67">
        <v>300</v>
      </c>
      <c r="V25" s="100">
        <v>800</v>
      </c>
      <c r="W25" s="98">
        <v>500</v>
      </c>
      <c r="X25" s="67">
        <v>300</v>
      </c>
      <c r="Y25" s="100">
        <v>800</v>
      </c>
    </row>
    <row r="26" spans="1:25" x14ac:dyDescent="0.35">
      <c r="A26" s="32" t="s">
        <v>41</v>
      </c>
      <c r="B26" s="33" t="s">
        <v>63</v>
      </c>
      <c r="C26" s="34" t="s">
        <v>64</v>
      </c>
      <c r="D26" s="61">
        <v>600</v>
      </c>
      <c r="E26" s="66">
        <v>250</v>
      </c>
      <c r="F26" s="63">
        <v>500</v>
      </c>
      <c r="G26" s="80">
        <f t="shared" si="5"/>
        <v>1091.6824196597352</v>
      </c>
      <c r="H26" s="125">
        <f t="shared" si="6"/>
        <v>543.47826086956513</v>
      </c>
      <c r="I26" s="124">
        <f t="shared" si="7"/>
        <v>833.33333333333337</v>
      </c>
      <c r="J26" s="61">
        <f t="shared" si="8"/>
        <v>545.84120982986758</v>
      </c>
      <c r="K26" s="66">
        <f t="shared" si="9"/>
        <v>271.73913043478257</v>
      </c>
      <c r="L26" s="63">
        <f t="shared" si="10"/>
        <v>416.66666666666669</v>
      </c>
      <c r="M26" s="61">
        <f t="shared" si="11"/>
        <v>545.84120982986758</v>
      </c>
      <c r="N26" s="76">
        <f t="shared" si="12"/>
        <v>271.73913043478257</v>
      </c>
      <c r="O26" s="75">
        <f t="shared" si="13"/>
        <v>416.66666666666669</v>
      </c>
      <c r="Q26" s="80">
        <f t="shared" si="14"/>
        <v>1100</v>
      </c>
      <c r="R26" s="80">
        <f t="shared" si="15"/>
        <v>600</v>
      </c>
      <c r="S26" s="80">
        <f t="shared" si="16"/>
        <v>800</v>
      </c>
      <c r="T26" s="149">
        <v>600</v>
      </c>
      <c r="U26" s="67">
        <v>300</v>
      </c>
      <c r="V26" s="64">
        <v>400</v>
      </c>
      <c r="W26" s="103">
        <v>500</v>
      </c>
      <c r="X26" s="67">
        <v>300</v>
      </c>
      <c r="Y26" s="64">
        <v>400</v>
      </c>
    </row>
    <row r="27" spans="1:25" ht="18.600000000000001" thickBot="1" x14ac:dyDescent="0.4">
      <c r="A27" s="32" t="s">
        <v>41</v>
      </c>
      <c r="B27" s="33" t="s">
        <v>63</v>
      </c>
      <c r="C27" s="34" t="s">
        <v>17</v>
      </c>
      <c r="D27" s="68">
        <v>600</v>
      </c>
      <c r="E27" s="69">
        <v>250</v>
      </c>
      <c r="F27" s="70">
        <v>250</v>
      </c>
      <c r="G27" s="80">
        <f t="shared" si="5"/>
        <v>1091.6824196597352</v>
      </c>
      <c r="H27" s="125">
        <f t="shared" si="6"/>
        <v>543.47826086956513</v>
      </c>
      <c r="I27" s="124">
        <f t="shared" si="7"/>
        <v>416.66666666666669</v>
      </c>
      <c r="J27" s="61">
        <f t="shared" si="8"/>
        <v>545.84120982986758</v>
      </c>
      <c r="K27" s="66">
        <f t="shared" si="9"/>
        <v>271.73913043478257</v>
      </c>
      <c r="L27" s="63">
        <f t="shared" si="10"/>
        <v>208.33333333333334</v>
      </c>
      <c r="M27" s="61">
        <f t="shared" si="11"/>
        <v>545.84120982986758</v>
      </c>
      <c r="N27" s="76">
        <f t="shared" si="12"/>
        <v>271.73913043478257</v>
      </c>
      <c r="O27" s="75">
        <f t="shared" si="13"/>
        <v>208.33333333333334</v>
      </c>
      <c r="Q27" s="80">
        <f t="shared" si="14"/>
        <v>1100</v>
      </c>
      <c r="R27" s="80">
        <f t="shared" si="15"/>
        <v>600</v>
      </c>
      <c r="S27" s="80">
        <f t="shared" si="16"/>
        <v>400</v>
      </c>
      <c r="T27" s="151">
        <v>600</v>
      </c>
      <c r="U27" s="67">
        <v>300</v>
      </c>
      <c r="V27" s="107">
        <v>200</v>
      </c>
      <c r="W27" s="105">
        <v>500</v>
      </c>
      <c r="X27" s="67">
        <v>300</v>
      </c>
      <c r="Y27" s="107">
        <v>200</v>
      </c>
    </row>
    <row r="28" spans="1:25" x14ac:dyDescent="0.35">
      <c r="A28" s="35" t="s">
        <v>41</v>
      </c>
      <c r="B28" s="36" t="s">
        <v>18</v>
      </c>
      <c r="C28" s="37" t="s">
        <v>15</v>
      </c>
      <c r="D28" s="71">
        <v>600</v>
      </c>
      <c r="E28" s="62">
        <v>125</v>
      </c>
      <c r="F28" s="72">
        <v>1000</v>
      </c>
      <c r="G28" s="80">
        <f t="shared" si="5"/>
        <v>1198.0151228733459</v>
      </c>
      <c r="H28" s="125">
        <f t="shared" si="6"/>
        <v>271.73913043478257</v>
      </c>
      <c r="I28" s="124">
        <f t="shared" si="7"/>
        <v>1666.6666666666667</v>
      </c>
      <c r="J28" s="61">
        <f t="shared" si="8"/>
        <v>599.00756143667297</v>
      </c>
      <c r="K28" s="66">
        <f t="shared" si="9"/>
        <v>135.86956521739128</v>
      </c>
      <c r="L28" s="63">
        <f t="shared" si="10"/>
        <v>833.33333333333337</v>
      </c>
      <c r="M28" s="61">
        <f t="shared" si="11"/>
        <v>599.00756143667297</v>
      </c>
      <c r="N28" s="76">
        <f t="shared" si="12"/>
        <v>135.86956521739128</v>
      </c>
      <c r="O28" s="75">
        <f t="shared" si="13"/>
        <v>833.33333333333337</v>
      </c>
      <c r="Q28" s="80">
        <f t="shared" si="14"/>
        <v>1200</v>
      </c>
      <c r="R28" s="80">
        <f t="shared" si="15"/>
        <v>300</v>
      </c>
      <c r="S28" s="80">
        <f t="shared" si="16"/>
        <v>1600</v>
      </c>
      <c r="T28" s="103">
        <v>600</v>
      </c>
      <c r="U28" s="99">
        <v>100</v>
      </c>
      <c r="V28" s="100">
        <v>800</v>
      </c>
      <c r="W28" s="103">
        <v>600</v>
      </c>
      <c r="X28" s="139">
        <v>200</v>
      </c>
      <c r="Y28" s="100">
        <v>800</v>
      </c>
    </row>
    <row r="29" spans="1:25" x14ac:dyDescent="0.35">
      <c r="A29" s="35" t="s">
        <v>41</v>
      </c>
      <c r="B29" s="36" t="s">
        <v>18</v>
      </c>
      <c r="C29" s="37" t="s">
        <v>64</v>
      </c>
      <c r="D29" s="61">
        <v>600</v>
      </c>
      <c r="E29" s="66">
        <v>125</v>
      </c>
      <c r="F29" s="63">
        <v>500</v>
      </c>
      <c r="G29" s="80">
        <f t="shared" si="5"/>
        <v>1198.0151228733459</v>
      </c>
      <c r="H29" s="125">
        <f t="shared" si="6"/>
        <v>271.73913043478257</v>
      </c>
      <c r="I29" s="124">
        <f t="shared" si="7"/>
        <v>833.33333333333337</v>
      </c>
      <c r="J29" s="61">
        <f t="shared" si="8"/>
        <v>599.00756143667297</v>
      </c>
      <c r="K29" s="66">
        <f t="shared" si="9"/>
        <v>135.86956521739128</v>
      </c>
      <c r="L29" s="63">
        <f t="shared" si="10"/>
        <v>416.66666666666669</v>
      </c>
      <c r="M29" s="61">
        <f t="shared" si="11"/>
        <v>599.00756143667297</v>
      </c>
      <c r="N29" s="76">
        <f t="shared" si="12"/>
        <v>135.86956521739128</v>
      </c>
      <c r="O29" s="75">
        <f t="shared" si="13"/>
        <v>416.66666666666669</v>
      </c>
      <c r="Q29" s="80">
        <f t="shared" si="14"/>
        <v>1200</v>
      </c>
      <c r="R29" s="80">
        <f t="shared" si="15"/>
        <v>300</v>
      </c>
      <c r="S29" s="80">
        <f t="shared" si="16"/>
        <v>800</v>
      </c>
      <c r="T29" s="103">
        <v>600</v>
      </c>
      <c r="U29" s="67">
        <v>100</v>
      </c>
      <c r="V29" s="64">
        <v>400</v>
      </c>
      <c r="W29" s="103">
        <v>600</v>
      </c>
      <c r="X29" s="140">
        <v>200</v>
      </c>
      <c r="Y29" s="64">
        <v>400</v>
      </c>
    </row>
    <row r="30" spans="1:25" ht="18.600000000000001" thickBot="1" x14ac:dyDescent="0.4">
      <c r="A30" s="35" t="s">
        <v>41</v>
      </c>
      <c r="B30" s="36" t="s">
        <v>18</v>
      </c>
      <c r="C30" s="37" t="s">
        <v>17</v>
      </c>
      <c r="D30" s="68">
        <v>600</v>
      </c>
      <c r="E30" s="69">
        <v>125</v>
      </c>
      <c r="F30" s="70">
        <v>250</v>
      </c>
      <c r="G30" s="80">
        <f t="shared" si="5"/>
        <v>1198.0151228733459</v>
      </c>
      <c r="H30" s="125">
        <f t="shared" si="6"/>
        <v>271.73913043478257</v>
      </c>
      <c r="I30" s="124">
        <f t="shared" si="7"/>
        <v>416.66666666666669</v>
      </c>
      <c r="J30" s="61">
        <f t="shared" si="8"/>
        <v>599.00756143667297</v>
      </c>
      <c r="K30" s="66">
        <f t="shared" si="9"/>
        <v>135.86956521739128</v>
      </c>
      <c r="L30" s="63">
        <f t="shared" si="10"/>
        <v>208.33333333333334</v>
      </c>
      <c r="M30" s="61">
        <f t="shared" si="11"/>
        <v>599.00756143667297</v>
      </c>
      <c r="N30" s="76">
        <f t="shared" si="12"/>
        <v>135.86956521739128</v>
      </c>
      <c r="O30" s="75">
        <f t="shared" si="13"/>
        <v>208.33333333333334</v>
      </c>
      <c r="Q30" s="80">
        <f t="shared" si="14"/>
        <v>1200</v>
      </c>
      <c r="R30" s="80">
        <f t="shared" si="15"/>
        <v>300</v>
      </c>
      <c r="S30" s="80">
        <f t="shared" si="16"/>
        <v>400</v>
      </c>
      <c r="T30" s="103">
        <v>600</v>
      </c>
      <c r="U30" s="106">
        <v>100</v>
      </c>
      <c r="V30" s="107">
        <v>200</v>
      </c>
      <c r="W30" s="103">
        <v>600</v>
      </c>
      <c r="X30" s="141">
        <v>200</v>
      </c>
      <c r="Y30" s="107">
        <v>200</v>
      </c>
    </row>
    <row r="31" spans="1:25" x14ac:dyDescent="0.35">
      <c r="A31" s="38" t="s">
        <v>42</v>
      </c>
      <c r="B31" s="39" t="s">
        <v>14</v>
      </c>
      <c r="C31" s="40" t="s">
        <v>15</v>
      </c>
      <c r="D31" s="71">
        <v>300</v>
      </c>
      <c r="E31" s="62">
        <v>500</v>
      </c>
      <c r="F31" s="63">
        <v>1000</v>
      </c>
      <c r="G31" s="80">
        <f t="shared" si="5"/>
        <v>226.84310018903599</v>
      </c>
      <c r="H31" s="125">
        <f t="shared" si="6"/>
        <v>1086.9565217391303</v>
      </c>
      <c r="I31" s="124">
        <f t="shared" si="7"/>
        <v>1666.6666666666667</v>
      </c>
      <c r="J31" s="61">
        <f t="shared" si="8"/>
        <v>113.421550094518</v>
      </c>
      <c r="K31" s="66">
        <f t="shared" si="9"/>
        <v>543.47826086956513</v>
      </c>
      <c r="L31" s="63">
        <f t="shared" si="10"/>
        <v>833.33333333333337</v>
      </c>
      <c r="M31" s="61">
        <f t="shared" si="11"/>
        <v>113.421550094518</v>
      </c>
      <c r="N31" s="76">
        <f t="shared" si="12"/>
        <v>543.47826086956513</v>
      </c>
      <c r="O31" s="75">
        <f t="shared" si="13"/>
        <v>833.33333333333337</v>
      </c>
      <c r="Q31" s="80">
        <f t="shared" si="14"/>
        <v>200</v>
      </c>
      <c r="R31" s="80">
        <f t="shared" si="15"/>
        <v>1100</v>
      </c>
      <c r="S31" s="80">
        <f t="shared" si="16"/>
        <v>1600</v>
      </c>
      <c r="T31" s="98">
        <v>100</v>
      </c>
      <c r="U31" s="99">
        <v>500</v>
      </c>
      <c r="V31" s="100">
        <v>800</v>
      </c>
      <c r="W31" s="98">
        <v>100</v>
      </c>
      <c r="X31" s="139">
        <v>600</v>
      </c>
      <c r="Y31" s="100">
        <v>800</v>
      </c>
    </row>
    <row r="32" spans="1:25" x14ac:dyDescent="0.35">
      <c r="A32" s="38" t="s">
        <v>42</v>
      </c>
      <c r="B32" s="39" t="s">
        <v>14</v>
      </c>
      <c r="C32" s="40" t="s">
        <v>64</v>
      </c>
      <c r="D32" s="61">
        <v>300</v>
      </c>
      <c r="E32" s="66">
        <v>500</v>
      </c>
      <c r="F32" s="63">
        <v>500</v>
      </c>
      <c r="G32" s="80">
        <f t="shared" si="5"/>
        <v>226.84310018903599</v>
      </c>
      <c r="H32" s="125">
        <f t="shared" si="6"/>
        <v>1086.9565217391303</v>
      </c>
      <c r="I32" s="124">
        <f t="shared" si="7"/>
        <v>833.33333333333337</v>
      </c>
      <c r="J32" s="61">
        <f t="shared" si="8"/>
        <v>113.421550094518</v>
      </c>
      <c r="K32" s="66">
        <f t="shared" si="9"/>
        <v>543.47826086956513</v>
      </c>
      <c r="L32" s="63">
        <f t="shared" si="10"/>
        <v>416.66666666666669</v>
      </c>
      <c r="M32" s="61">
        <f t="shared" si="11"/>
        <v>113.421550094518</v>
      </c>
      <c r="N32" s="76">
        <f t="shared" si="12"/>
        <v>543.47826086956513</v>
      </c>
      <c r="O32" s="75">
        <f t="shared" si="13"/>
        <v>416.66666666666669</v>
      </c>
      <c r="Q32" s="80">
        <f t="shared" si="14"/>
        <v>200</v>
      </c>
      <c r="R32" s="80">
        <f t="shared" si="15"/>
        <v>1100</v>
      </c>
      <c r="S32" s="80">
        <f t="shared" si="16"/>
        <v>800</v>
      </c>
      <c r="T32" s="103">
        <v>100</v>
      </c>
      <c r="U32" s="67">
        <v>500</v>
      </c>
      <c r="V32" s="64">
        <v>400</v>
      </c>
      <c r="W32" s="103">
        <v>100</v>
      </c>
      <c r="X32" s="140">
        <v>600</v>
      </c>
      <c r="Y32" s="64">
        <v>400</v>
      </c>
    </row>
    <row r="33" spans="1:25" ht="18.600000000000001" thickBot="1" x14ac:dyDescent="0.4">
      <c r="A33" s="38" t="s">
        <v>42</v>
      </c>
      <c r="B33" s="39" t="s">
        <v>14</v>
      </c>
      <c r="C33" s="40" t="s">
        <v>17</v>
      </c>
      <c r="D33" s="68">
        <v>300</v>
      </c>
      <c r="E33" s="69">
        <v>500</v>
      </c>
      <c r="F33" s="70">
        <v>250</v>
      </c>
      <c r="G33" s="80">
        <f t="shared" si="5"/>
        <v>226.84310018903599</v>
      </c>
      <c r="H33" s="125">
        <f t="shared" si="6"/>
        <v>1086.9565217391303</v>
      </c>
      <c r="I33" s="124">
        <f t="shared" si="7"/>
        <v>416.66666666666669</v>
      </c>
      <c r="J33" s="61">
        <f t="shared" si="8"/>
        <v>113.421550094518</v>
      </c>
      <c r="K33" s="66">
        <f t="shared" si="9"/>
        <v>543.47826086956513</v>
      </c>
      <c r="L33" s="63">
        <f t="shared" si="10"/>
        <v>208.33333333333334</v>
      </c>
      <c r="M33" s="61">
        <f t="shared" si="11"/>
        <v>113.421550094518</v>
      </c>
      <c r="N33" s="76">
        <f t="shared" si="12"/>
        <v>543.47826086956513</v>
      </c>
      <c r="O33" s="75">
        <f t="shared" si="13"/>
        <v>208.33333333333334</v>
      </c>
      <c r="Q33" s="80">
        <f t="shared" si="14"/>
        <v>200</v>
      </c>
      <c r="R33" s="80">
        <f t="shared" si="15"/>
        <v>1100</v>
      </c>
      <c r="S33" s="80">
        <f t="shared" si="16"/>
        <v>400</v>
      </c>
      <c r="T33" s="105">
        <v>100</v>
      </c>
      <c r="U33" s="106">
        <v>500</v>
      </c>
      <c r="V33" s="107">
        <v>200</v>
      </c>
      <c r="W33" s="105">
        <v>100</v>
      </c>
      <c r="X33" s="141">
        <v>600</v>
      </c>
      <c r="Y33" s="107">
        <v>200</v>
      </c>
    </row>
    <row r="34" spans="1:25" x14ac:dyDescent="0.35">
      <c r="A34" s="41" t="s">
        <v>42</v>
      </c>
      <c r="B34" s="42" t="s">
        <v>63</v>
      </c>
      <c r="C34" s="43" t="s">
        <v>15</v>
      </c>
      <c r="D34" s="71">
        <v>300</v>
      </c>
      <c r="E34" s="62">
        <v>250</v>
      </c>
      <c r="F34" s="72">
        <v>1000</v>
      </c>
      <c r="G34" s="80">
        <f t="shared" si="5"/>
        <v>439.50850661625708</v>
      </c>
      <c r="H34" s="125">
        <f t="shared" si="6"/>
        <v>543.47826086956513</v>
      </c>
      <c r="I34" s="124">
        <f t="shared" si="7"/>
        <v>1666.6666666666667</v>
      </c>
      <c r="J34" s="61">
        <f t="shared" si="8"/>
        <v>219.75425330812854</v>
      </c>
      <c r="K34" s="66">
        <f t="shared" si="9"/>
        <v>271.73913043478257</v>
      </c>
      <c r="L34" s="63">
        <f t="shared" si="10"/>
        <v>833.33333333333337</v>
      </c>
      <c r="M34" s="61">
        <f t="shared" si="11"/>
        <v>219.75425330812854</v>
      </c>
      <c r="N34" s="76">
        <f t="shared" si="12"/>
        <v>271.73913043478257</v>
      </c>
      <c r="O34" s="75">
        <f t="shared" si="13"/>
        <v>833.33333333333337</v>
      </c>
      <c r="Q34" s="80">
        <f t="shared" si="14"/>
        <v>400</v>
      </c>
      <c r="R34" s="80">
        <f t="shared" si="15"/>
        <v>600</v>
      </c>
      <c r="S34" s="80">
        <f t="shared" si="16"/>
        <v>1600</v>
      </c>
      <c r="T34" s="103">
        <v>200</v>
      </c>
      <c r="U34" s="67">
        <v>300</v>
      </c>
      <c r="V34" s="100">
        <v>800</v>
      </c>
      <c r="W34" s="103">
        <v>200</v>
      </c>
      <c r="X34" s="67">
        <v>300</v>
      </c>
      <c r="Y34" s="100">
        <v>800</v>
      </c>
    </row>
    <row r="35" spans="1:25" x14ac:dyDescent="0.35">
      <c r="A35" s="41" t="s">
        <v>42</v>
      </c>
      <c r="B35" s="42" t="s">
        <v>63</v>
      </c>
      <c r="C35" s="43" t="s">
        <v>64</v>
      </c>
      <c r="D35" s="61">
        <v>300</v>
      </c>
      <c r="E35" s="66">
        <v>250</v>
      </c>
      <c r="F35" s="63">
        <v>500</v>
      </c>
      <c r="G35" s="80">
        <f t="shared" si="5"/>
        <v>439.50850661625708</v>
      </c>
      <c r="H35" s="125">
        <f t="shared" si="6"/>
        <v>543.47826086956513</v>
      </c>
      <c r="I35" s="124">
        <f t="shared" si="7"/>
        <v>833.33333333333337</v>
      </c>
      <c r="J35" s="61">
        <f t="shared" si="8"/>
        <v>219.75425330812854</v>
      </c>
      <c r="K35" s="66">
        <f t="shared" si="9"/>
        <v>271.73913043478257</v>
      </c>
      <c r="L35" s="63">
        <f t="shared" si="10"/>
        <v>416.66666666666669</v>
      </c>
      <c r="M35" s="61">
        <f t="shared" si="11"/>
        <v>219.75425330812854</v>
      </c>
      <c r="N35" s="76">
        <f t="shared" si="12"/>
        <v>271.73913043478257</v>
      </c>
      <c r="O35" s="75">
        <f t="shared" si="13"/>
        <v>416.66666666666669</v>
      </c>
      <c r="Q35" s="80">
        <f t="shared" si="14"/>
        <v>400</v>
      </c>
      <c r="R35" s="80">
        <f t="shared" si="15"/>
        <v>600</v>
      </c>
      <c r="S35" s="80">
        <f t="shared" si="16"/>
        <v>800</v>
      </c>
      <c r="T35" s="103">
        <v>200</v>
      </c>
      <c r="U35" s="67">
        <v>300</v>
      </c>
      <c r="V35" s="64">
        <v>400</v>
      </c>
      <c r="W35" s="103">
        <v>200</v>
      </c>
      <c r="X35" s="67">
        <v>300</v>
      </c>
      <c r="Y35" s="64">
        <v>400</v>
      </c>
    </row>
    <row r="36" spans="1:25" ht="18.600000000000001" thickBot="1" x14ac:dyDescent="0.4">
      <c r="A36" s="41" t="s">
        <v>42</v>
      </c>
      <c r="B36" s="42" t="s">
        <v>63</v>
      </c>
      <c r="C36" s="43" t="s">
        <v>17</v>
      </c>
      <c r="D36" s="68">
        <v>300</v>
      </c>
      <c r="E36" s="69">
        <v>250</v>
      </c>
      <c r="F36" s="70">
        <v>250</v>
      </c>
      <c r="G36" s="80">
        <f t="shared" si="5"/>
        <v>439.50850661625708</v>
      </c>
      <c r="H36" s="125">
        <f t="shared" si="6"/>
        <v>543.47826086956513</v>
      </c>
      <c r="I36" s="124">
        <f t="shared" si="7"/>
        <v>416.66666666666669</v>
      </c>
      <c r="J36" s="61">
        <f t="shared" si="8"/>
        <v>219.75425330812854</v>
      </c>
      <c r="K36" s="66">
        <f t="shared" si="9"/>
        <v>271.73913043478257</v>
      </c>
      <c r="L36" s="63">
        <f t="shared" si="10"/>
        <v>208.33333333333334</v>
      </c>
      <c r="M36" s="61">
        <f t="shared" si="11"/>
        <v>219.75425330812854</v>
      </c>
      <c r="N36" s="76">
        <f t="shared" si="12"/>
        <v>271.73913043478257</v>
      </c>
      <c r="O36" s="75">
        <f t="shared" si="13"/>
        <v>208.33333333333334</v>
      </c>
      <c r="Q36" s="80">
        <f t="shared" si="14"/>
        <v>400</v>
      </c>
      <c r="R36" s="80">
        <f t="shared" si="15"/>
        <v>600</v>
      </c>
      <c r="S36" s="80">
        <f t="shared" si="16"/>
        <v>400</v>
      </c>
      <c r="T36" s="103">
        <v>200</v>
      </c>
      <c r="U36" s="67">
        <v>300</v>
      </c>
      <c r="V36" s="107">
        <v>200</v>
      </c>
      <c r="W36" s="103">
        <v>200</v>
      </c>
      <c r="X36" s="67">
        <v>300</v>
      </c>
      <c r="Y36" s="107">
        <v>200</v>
      </c>
    </row>
    <row r="37" spans="1:25" x14ac:dyDescent="0.35">
      <c r="A37" s="44" t="s">
        <v>42</v>
      </c>
      <c r="B37" s="45" t="s">
        <v>18</v>
      </c>
      <c r="C37" s="46" t="s">
        <v>15</v>
      </c>
      <c r="D37" s="71">
        <v>300</v>
      </c>
      <c r="E37" s="66">
        <v>125</v>
      </c>
      <c r="F37" s="63">
        <v>1000</v>
      </c>
      <c r="G37" s="80">
        <f t="shared" si="5"/>
        <v>545.84120982986758</v>
      </c>
      <c r="H37" s="125">
        <f t="shared" si="6"/>
        <v>271.73913043478257</v>
      </c>
      <c r="I37" s="124">
        <f t="shared" si="7"/>
        <v>1666.6666666666667</v>
      </c>
      <c r="J37" s="61">
        <f t="shared" si="8"/>
        <v>272.92060491493379</v>
      </c>
      <c r="K37" s="66">
        <f t="shared" si="9"/>
        <v>135.86956521739128</v>
      </c>
      <c r="L37" s="63">
        <f t="shared" si="10"/>
        <v>833.33333333333337</v>
      </c>
      <c r="M37" s="61">
        <f t="shared" si="11"/>
        <v>272.92060491493379</v>
      </c>
      <c r="N37" s="76">
        <f t="shared" si="12"/>
        <v>135.86956521739128</v>
      </c>
      <c r="O37" s="75">
        <f t="shared" si="13"/>
        <v>833.33333333333337</v>
      </c>
      <c r="Q37" s="80">
        <f t="shared" si="14"/>
        <v>600</v>
      </c>
      <c r="R37" s="80">
        <f t="shared" si="15"/>
        <v>300</v>
      </c>
      <c r="S37" s="80">
        <f t="shared" si="16"/>
        <v>1600</v>
      </c>
      <c r="T37" s="98">
        <v>300</v>
      </c>
      <c r="U37" s="99">
        <v>100</v>
      </c>
      <c r="V37" s="100">
        <v>800</v>
      </c>
      <c r="W37" s="98">
        <v>300</v>
      </c>
      <c r="X37" s="139">
        <v>200</v>
      </c>
      <c r="Y37" s="100">
        <v>800</v>
      </c>
    </row>
    <row r="38" spans="1:25" x14ac:dyDescent="0.35">
      <c r="A38" s="44" t="s">
        <v>42</v>
      </c>
      <c r="B38" s="45" t="s">
        <v>18</v>
      </c>
      <c r="C38" s="46" t="s">
        <v>64</v>
      </c>
      <c r="D38" s="61">
        <v>300</v>
      </c>
      <c r="E38" s="66">
        <v>125</v>
      </c>
      <c r="F38" s="63">
        <v>500</v>
      </c>
      <c r="G38" s="80">
        <f t="shared" si="5"/>
        <v>545.84120982986758</v>
      </c>
      <c r="H38" s="125">
        <f t="shared" si="6"/>
        <v>271.73913043478257</v>
      </c>
      <c r="I38" s="124">
        <f t="shared" si="7"/>
        <v>833.33333333333337</v>
      </c>
      <c r="J38" s="61">
        <f t="shared" si="8"/>
        <v>272.92060491493379</v>
      </c>
      <c r="K38" s="66">
        <f t="shared" si="9"/>
        <v>135.86956521739128</v>
      </c>
      <c r="L38" s="63">
        <f t="shared" si="10"/>
        <v>416.66666666666669</v>
      </c>
      <c r="M38" s="61">
        <f t="shared" si="11"/>
        <v>272.92060491493379</v>
      </c>
      <c r="N38" s="76">
        <f t="shared" si="12"/>
        <v>135.86956521739128</v>
      </c>
      <c r="O38" s="75">
        <f t="shared" si="13"/>
        <v>416.66666666666669</v>
      </c>
      <c r="Q38" s="80">
        <f t="shared" si="14"/>
        <v>600</v>
      </c>
      <c r="R38" s="80">
        <f t="shared" si="15"/>
        <v>300</v>
      </c>
      <c r="S38" s="80">
        <f t="shared" si="16"/>
        <v>800</v>
      </c>
      <c r="T38" s="103">
        <v>300</v>
      </c>
      <c r="U38" s="67">
        <v>100</v>
      </c>
      <c r="V38" s="64">
        <v>400</v>
      </c>
      <c r="W38" s="103">
        <v>300</v>
      </c>
      <c r="X38" s="140">
        <v>200</v>
      </c>
      <c r="Y38" s="64">
        <v>400</v>
      </c>
    </row>
    <row r="39" spans="1:25" ht="18.600000000000001" thickBot="1" x14ac:dyDescent="0.4">
      <c r="A39" s="47" t="s">
        <v>42</v>
      </c>
      <c r="B39" s="48" t="s">
        <v>18</v>
      </c>
      <c r="C39" s="49" t="s">
        <v>17</v>
      </c>
      <c r="D39" s="68">
        <v>300</v>
      </c>
      <c r="E39" s="69">
        <v>125</v>
      </c>
      <c r="F39" s="70">
        <v>250</v>
      </c>
      <c r="G39" s="126">
        <f t="shared" si="5"/>
        <v>545.84120982986758</v>
      </c>
      <c r="H39" s="127">
        <f t="shared" si="6"/>
        <v>271.73913043478257</v>
      </c>
      <c r="I39" s="128">
        <f t="shared" si="7"/>
        <v>416.66666666666669</v>
      </c>
      <c r="J39" s="68">
        <f t="shared" si="8"/>
        <v>272.92060491493379</v>
      </c>
      <c r="K39" s="69">
        <f t="shared" si="9"/>
        <v>135.86956521739128</v>
      </c>
      <c r="L39" s="70">
        <f t="shared" si="10"/>
        <v>208.33333333333334</v>
      </c>
      <c r="M39" s="68">
        <f t="shared" si="11"/>
        <v>272.92060491493379</v>
      </c>
      <c r="N39" s="78">
        <f t="shared" si="12"/>
        <v>135.86956521739128</v>
      </c>
      <c r="O39" s="79">
        <f t="shared" si="13"/>
        <v>208.33333333333334</v>
      </c>
      <c r="Q39" s="80">
        <f t="shared" si="14"/>
        <v>600</v>
      </c>
      <c r="R39" s="80">
        <f t="shared" si="15"/>
        <v>300</v>
      </c>
      <c r="S39" s="80">
        <f t="shared" si="16"/>
        <v>400</v>
      </c>
      <c r="T39" s="105">
        <v>300</v>
      </c>
      <c r="U39" s="106">
        <v>100</v>
      </c>
      <c r="V39" s="107">
        <v>200</v>
      </c>
      <c r="W39" s="105">
        <v>300</v>
      </c>
      <c r="X39" s="141">
        <v>200</v>
      </c>
      <c r="Y39" s="107">
        <v>200</v>
      </c>
    </row>
    <row r="40" spans="1:25" x14ac:dyDescent="0.35">
      <c r="L40" s="51"/>
    </row>
  </sheetData>
  <mergeCells count="13">
    <mergeCell ref="D4:F4"/>
    <mergeCell ref="G4:I4"/>
    <mergeCell ref="D1:I1"/>
    <mergeCell ref="J1:L1"/>
    <mergeCell ref="M1:O1"/>
    <mergeCell ref="D2:I2"/>
    <mergeCell ref="J2:L2"/>
    <mergeCell ref="M2:O2"/>
    <mergeCell ref="T11:V11"/>
    <mergeCell ref="W11:Y11"/>
    <mergeCell ref="G3:I3"/>
    <mergeCell ref="J3:L3"/>
    <mergeCell ref="M3:O3"/>
  </mergeCells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EB68F-F342-40BC-A287-8C2C3DB1D6AB}">
  <sheetPr>
    <tabColor rgb="FFCCFFCC"/>
  </sheetPr>
  <dimension ref="A1:Y40"/>
  <sheetViews>
    <sheetView tabSelected="1" zoomScale="70" zoomScaleNormal="70" workbookViewId="0">
      <selection activeCell="I13" sqref="I13"/>
    </sheetView>
  </sheetViews>
  <sheetFormatPr defaultRowHeight="18" x14ac:dyDescent="0.35"/>
  <cols>
    <col min="1" max="1" width="6.109375" style="3" customWidth="1"/>
    <col min="2" max="2" width="7.5546875" style="3" customWidth="1"/>
    <col min="3" max="3" width="5.88671875" style="3" customWidth="1"/>
    <col min="4" max="4" width="6.77734375" style="3" customWidth="1"/>
    <col min="5" max="5" width="6.5546875" style="3" customWidth="1"/>
    <col min="6" max="6" width="7.21875" style="3" customWidth="1"/>
    <col min="7" max="7" width="6" style="3" bestFit="1" customWidth="1"/>
    <col min="8" max="8" width="7" style="3" bestFit="1" customWidth="1"/>
    <col min="9" max="10" width="6" style="3" bestFit="1" customWidth="1"/>
    <col min="11" max="11" width="7" style="3" bestFit="1" customWidth="1"/>
    <col min="12" max="13" width="6" style="3" bestFit="1" customWidth="1"/>
    <col min="14" max="14" width="7" style="3" bestFit="1" customWidth="1"/>
    <col min="15" max="15" width="6" style="3" bestFit="1" customWidth="1"/>
    <col min="16" max="16384" width="8.88671875" style="3"/>
  </cols>
  <sheetData>
    <row r="1" spans="1:25" ht="15" customHeight="1" x14ac:dyDescent="0.35">
      <c r="A1" s="1" t="s">
        <v>0</v>
      </c>
      <c r="B1" s="1" t="s">
        <v>2</v>
      </c>
      <c r="C1" s="2" t="s">
        <v>4</v>
      </c>
      <c r="D1" s="153" t="s">
        <v>5</v>
      </c>
      <c r="E1" s="153"/>
      <c r="F1" s="153"/>
      <c r="G1" s="153"/>
      <c r="H1" s="153"/>
      <c r="I1" s="154"/>
      <c r="J1" s="152" t="s">
        <v>43</v>
      </c>
      <c r="K1" s="153"/>
      <c r="L1" s="154"/>
      <c r="M1" s="152" t="s">
        <v>45</v>
      </c>
      <c r="N1" s="153"/>
      <c r="O1" s="154"/>
    </row>
    <row r="2" spans="1:25" ht="18.600000000000001" thickBot="1" x14ac:dyDescent="0.4">
      <c r="A2" s="4" t="s">
        <v>1</v>
      </c>
      <c r="B2" s="4" t="s">
        <v>3</v>
      </c>
      <c r="C2" s="5" t="s">
        <v>3</v>
      </c>
      <c r="D2" s="159" t="s">
        <v>6</v>
      </c>
      <c r="E2" s="159"/>
      <c r="F2" s="159"/>
      <c r="G2" s="159"/>
      <c r="H2" s="159"/>
      <c r="I2" s="160"/>
      <c r="J2" s="158" t="s">
        <v>51</v>
      </c>
      <c r="K2" s="159"/>
      <c r="L2" s="160"/>
      <c r="M2" s="158" t="s">
        <v>53</v>
      </c>
      <c r="N2" s="159"/>
      <c r="O2" s="160"/>
    </row>
    <row r="3" spans="1:25" ht="18.600000000000001" thickBot="1" x14ac:dyDescent="0.4">
      <c r="A3" s="6"/>
      <c r="B3" s="6"/>
      <c r="C3" s="7"/>
      <c r="D3" s="8" t="s">
        <v>30</v>
      </c>
      <c r="E3" s="9"/>
      <c r="F3" s="10"/>
      <c r="G3" s="155" t="s">
        <v>32</v>
      </c>
      <c r="H3" s="156"/>
      <c r="I3" s="157"/>
      <c r="J3" s="158" t="s">
        <v>52</v>
      </c>
      <c r="K3" s="159"/>
      <c r="L3" s="160"/>
      <c r="M3" s="158" t="s">
        <v>52</v>
      </c>
      <c r="N3" s="159"/>
      <c r="O3" s="160"/>
    </row>
    <row r="4" spans="1:25" ht="18.600000000000001" thickBot="1" x14ac:dyDescent="0.4">
      <c r="A4" s="6"/>
      <c r="B4" s="6"/>
      <c r="C4" s="7"/>
      <c r="D4" s="155" t="s">
        <v>31</v>
      </c>
      <c r="E4" s="156"/>
      <c r="F4" s="157"/>
      <c r="G4" s="155" t="s">
        <v>31</v>
      </c>
      <c r="H4" s="156"/>
      <c r="I4" s="157"/>
      <c r="J4" s="4"/>
      <c r="K4" s="11"/>
      <c r="L4" s="12"/>
      <c r="M4" s="4"/>
      <c r="N4" s="11"/>
      <c r="O4" s="12"/>
    </row>
    <row r="5" spans="1:25" ht="18.600000000000001" thickBot="1" x14ac:dyDescent="0.4">
      <c r="A5" s="13"/>
      <c r="B5" s="13"/>
      <c r="C5" s="14"/>
      <c r="D5" s="15" t="s">
        <v>7</v>
      </c>
      <c r="E5" s="15" t="s">
        <v>8</v>
      </c>
      <c r="F5" s="15" t="s">
        <v>9</v>
      </c>
      <c r="G5" s="16" t="s">
        <v>10</v>
      </c>
      <c r="H5" s="15" t="s">
        <v>11</v>
      </c>
      <c r="I5" s="17" t="s">
        <v>12</v>
      </c>
      <c r="J5" s="18" t="s">
        <v>62</v>
      </c>
      <c r="K5" s="15" t="s">
        <v>11</v>
      </c>
      <c r="L5" s="19" t="s">
        <v>12</v>
      </c>
      <c r="M5" s="18" t="s">
        <v>62</v>
      </c>
      <c r="N5" s="15" t="s">
        <v>11</v>
      </c>
      <c r="O5" s="19" t="s">
        <v>12</v>
      </c>
    </row>
    <row r="6" spans="1:25" ht="18.600000000000001" thickBot="1" x14ac:dyDescent="0.4">
      <c r="A6" s="13"/>
      <c r="B6" s="13" t="s">
        <v>33</v>
      </c>
      <c r="C6" s="50"/>
      <c r="D6" s="52">
        <v>25</v>
      </c>
      <c r="E6" s="52">
        <v>12</v>
      </c>
      <c r="F6" s="52">
        <v>32</v>
      </c>
      <c r="G6" s="53"/>
      <c r="H6" s="60">
        <f>0.15*400</f>
        <v>60</v>
      </c>
      <c r="I6" s="17"/>
      <c r="J6" s="18">
        <f>D6/2</f>
        <v>12.5</v>
      </c>
      <c r="K6" s="52">
        <f>E6/2</f>
        <v>6</v>
      </c>
      <c r="L6" s="19">
        <f>F6/2</f>
        <v>16</v>
      </c>
      <c r="M6" s="18">
        <f>D6/2</f>
        <v>12.5</v>
      </c>
      <c r="N6" s="52">
        <f>E6/2</f>
        <v>6</v>
      </c>
      <c r="O6" s="19">
        <f>F6/2</f>
        <v>16</v>
      </c>
    </row>
    <row r="7" spans="1:25" ht="18.600000000000001" thickBot="1" x14ac:dyDescent="0.4">
      <c r="A7" s="13"/>
      <c r="B7" s="13"/>
      <c r="C7" s="50"/>
      <c r="D7" s="55">
        <f t="shared" ref="D7:F8" si="0">SUM(J7,M7)</f>
        <v>4.166666666666667</v>
      </c>
      <c r="E7" s="55">
        <f t="shared" si="0"/>
        <v>2</v>
      </c>
      <c r="F7" s="55">
        <f t="shared" si="0"/>
        <v>5.333333333333333</v>
      </c>
      <c r="G7" s="54"/>
      <c r="H7" s="55"/>
      <c r="I7" s="56"/>
      <c r="J7" s="82">
        <f t="shared" ref="J7:O7" si="1">J6/6</f>
        <v>2.0833333333333335</v>
      </c>
      <c r="K7" s="83">
        <f t="shared" si="1"/>
        <v>1</v>
      </c>
      <c r="L7" s="84">
        <f t="shared" si="1"/>
        <v>2.6666666666666665</v>
      </c>
      <c r="M7" s="82">
        <f t="shared" si="1"/>
        <v>2.0833333333333335</v>
      </c>
      <c r="N7" s="83">
        <f t="shared" si="1"/>
        <v>1</v>
      </c>
      <c r="O7" s="84">
        <f t="shared" si="1"/>
        <v>2.6666666666666665</v>
      </c>
    </row>
    <row r="8" spans="1:25" ht="18.600000000000001" thickBot="1" x14ac:dyDescent="0.4">
      <c r="A8" s="13"/>
      <c r="B8" s="13"/>
      <c r="C8" s="50"/>
      <c r="D8" s="55">
        <f t="shared" si="0"/>
        <v>2</v>
      </c>
      <c r="E8" s="55">
        <f t="shared" si="0"/>
        <v>1</v>
      </c>
      <c r="F8" s="55">
        <f t="shared" si="0"/>
        <v>3</v>
      </c>
      <c r="G8" s="54"/>
      <c r="H8" s="55"/>
      <c r="I8" s="56"/>
      <c r="J8" s="57">
        <v>2</v>
      </c>
      <c r="K8" s="55">
        <v>1</v>
      </c>
      <c r="L8" s="58">
        <v>2</v>
      </c>
      <c r="M8" s="57">
        <v>0</v>
      </c>
      <c r="N8" s="55">
        <v>0</v>
      </c>
      <c r="O8" s="58">
        <v>1</v>
      </c>
    </row>
    <row r="9" spans="1:25" ht="18.600000000000001" thickBot="1" x14ac:dyDescent="0.4">
      <c r="A9" s="13"/>
      <c r="B9" s="13" t="s">
        <v>34</v>
      </c>
      <c r="C9" s="50"/>
      <c r="D9" s="52">
        <v>50</v>
      </c>
      <c r="E9" s="52">
        <v>25</v>
      </c>
      <c r="F9" s="52">
        <v>60</v>
      </c>
      <c r="G9" s="59">
        <f>0.2*500</f>
        <v>100</v>
      </c>
      <c r="H9" s="60">
        <f>0.1*500</f>
        <v>50</v>
      </c>
      <c r="I9" s="17"/>
      <c r="J9" s="18">
        <f>D9/2</f>
        <v>25</v>
      </c>
      <c r="K9" s="52">
        <f>E9/2</f>
        <v>12.5</v>
      </c>
      <c r="L9" s="19">
        <f>F9/2</f>
        <v>30</v>
      </c>
      <c r="M9" s="18">
        <f>D9/2</f>
        <v>25</v>
      </c>
      <c r="N9" s="52">
        <f>E9/2</f>
        <v>12.5</v>
      </c>
      <c r="O9" s="19">
        <f>F9/2</f>
        <v>30</v>
      </c>
    </row>
    <row r="10" spans="1:25" ht="18.600000000000001" thickBot="1" x14ac:dyDescent="0.4">
      <c r="A10" s="13"/>
      <c r="B10" s="13"/>
      <c r="C10" s="50"/>
      <c r="D10" s="55">
        <f t="shared" ref="D10:F11" si="2">SUM(J10,M10)</f>
        <v>8.3333333333333339</v>
      </c>
      <c r="E10" s="55">
        <f t="shared" si="2"/>
        <v>4.166666666666667</v>
      </c>
      <c r="F10" s="55">
        <f t="shared" si="2"/>
        <v>10</v>
      </c>
      <c r="G10" s="86">
        <f>AVERAGE(D7,D10)</f>
        <v>6.25</v>
      </c>
      <c r="H10" s="86">
        <f>AVERAGE(E7,E10)</f>
        <v>3.0833333333333335</v>
      </c>
      <c r="I10" s="87">
        <f>AVERAGE(F7,F10)</f>
        <v>7.6666666666666661</v>
      </c>
      <c r="J10" s="82">
        <f t="shared" ref="J10:O10" si="3">J9/6</f>
        <v>4.166666666666667</v>
      </c>
      <c r="K10" s="83">
        <f t="shared" si="3"/>
        <v>2.0833333333333335</v>
      </c>
      <c r="L10" s="84">
        <f t="shared" si="3"/>
        <v>5</v>
      </c>
      <c r="M10" s="82">
        <f t="shared" si="3"/>
        <v>4.166666666666667</v>
      </c>
      <c r="N10" s="83">
        <f t="shared" si="3"/>
        <v>2.0833333333333335</v>
      </c>
      <c r="O10" s="84">
        <f t="shared" si="3"/>
        <v>5</v>
      </c>
    </row>
    <row r="11" spans="1:25" ht="18.600000000000001" thickBot="1" x14ac:dyDescent="0.4">
      <c r="A11" s="13"/>
      <c r="B11" s="13"/>
      <c r="C11" s="50"/>
      <c r="D11" s="55">
        <f t="shared" si="2"/>
        <v>2</v>
      </c>
      <c r="E11" s="52">
        <f t="shared" si="2"/>
        <v>1</v>
      </c>
      <c r="F11" s="52">
        <f t="shared" si="2"/>
        <v>4</v>
      </c>
      <c r="G11" s="54"/>
      <c r="H11" s="55"/>
      <c r="I11" s="56"/>
      <c r="J11" s="57">
        <v>2</v>
      </c>
      <c r="K11" s="55">
        <v>1</v>
      </c>
      <c r="L11" s="58">
        <v>2</v>
      </c>
      <c r="M11" s="57">
        <v>0</v>
      </c>
      <c r="N11" s="55">
        <v>0</v>
      </c>
      <c r="O11" s="58">
        <v>2</v>
      </c>
      <c r="Q11" s="24" t="s">
        <v>61</v>
      </c>
      <c r="T11" s="152" t="s">
        <v>59</v>
      </c>
      <c r="U11" s="153"/>
      <c r="V11" s="154"/>
      <c r="W11" s="152" t="s">
        <v>60</v>
      </c>
      <c r="X11" s="153"/>
      <c r="Y11" s="154"/>
    </row>
    <row r="12" spans="1:25" ht="18.600000000000001" thickBot="1" x14ac:dyDescent="0.4">
      <c r="A12" s="20"/>
      <c r="B12" s="88" t="s">
        <v>35</v>
      </c>
      <c r="C12" s="81"/>
      <c r="D12" s="81"/>
      <c r="E12" s="81"/>
      <c r="F12" s="81"/>
      <c r="G12" s="86">
        <f>SUM(J12,M12)</f>
        <v>6.25</v>
      </c>
      <c r="H12" s="86">
        <f>SUM(K12,N12)</f>
        <v>3.0833333333333335</v>
      </c>
      <c r="I12" s="87">
        <f>SUM(L12,O12)</f>
        <v>7.6666666666666661</v>
      </c>
      <c r="J12" s="97">
        <f>AVERAGE(J7,J10)</f>
        <v>3.125</v>
      </c>
      <c r="K12" s="89">
        <f>AVERAGE(K7,K10)</f>
        <v>1.5416666666666667</v>
      </c>
      <c r="L12" s="90">
        <f>AVERAGE(L7,L10)</f>
        <v>3.833333333333333</v>
      </c>
      <c r="M12" s="94">
        <f t="shared" ref="M12:O12" si="4">AVERAGE(M7,M10)</f>
        <v>3.125</v>
      </c>
      <c r="N12" s="95">
        <f t="shared" si="4"/>
        <v>1.5416666666666667</v>
      </c>
      <c r="O12" s="96">
        <f t="shared" si="4"/>
        <v>3.833333333333333</v>
      </c>
      <c r="T12" s="110" t="s">
        <v>62</v>
      </c>
      <c r="U12" s="110" t="s">
        <v>11</v>
      </c>
      <c r="V12" s="110" t="s">
        <v>12</v>
      </c>
      <c r="W12" s="110" t="s">
        <v>62</v>
      </c>
      <c r="X12" s="110" t="s">
        <v>11</v>
      </c>
      <c r="Y12" s="110" t="s">
        <v>12</v>
      </c>
    </row>
    <row r="13" spans="1:25" x14ac:dyDescent="0.35">
      <c r="A13" s="21" t="s">
        <v>40</v>
      </c>
      <c r="B13" s="22" t="s">
        <v>54</v>
      </c>
      <c r="C13" s="21" t="s">
        <v>56</v>
      </c>
      <c r="D13" s="61">
        <v>75</v>
      </c>
      <c r="E13" s="62">
        <v>34</v>
      </c>
      <c r="F13" s="63">
        <v>136</v>
      </c>
      <c r="G13" s="73">
        <f>(D13-(H13*(18/100)))*(100/46)</f>
        <v>134.12098298676747</v>
      </c>
      <c r="H13" s="74">
        <f>E13*(100/46)</f>
        <v>73.91304347826086</v>
      </c>
      <c r="I13" s="75">
        <f>F13*(100/50)</f>
        <v>272</v>
      </c>
      <c r="J13" s="61">
        <f>((D13/2)-(K13*(18/100)))*(100/21)</f>
        <v>115.21739130434784</v>
      </c>
      <c r="K13" s="62">
        <f>E13*(100/46)</f>
        <v>73.91304347826086</v>
      </c>
      <c r="L13" s="63">
        <f>(F13/2)*(100/50)</f>
        <v>136</v>
      </c>
      <c r="M13" s="61">
        <f>(D13/2)*(100/21)</f>
        <v>178.57142857142858</v>
      </c>
      <c r="N13" s="74"/>
      <c r="O13" s="75">
        <f>(F13/2)*(100/50)</f>
        <v>136</v>
      </c>
      <c r="Q13" s="80">
        <f>T13+W13</f>
        <v>300</v>
      </c>
      <c r="R13" s="80">
        <f>U13+X13</f>
        <v>100</v>
      </c>
      <c r="S13" s="80">
        <f>V13+Y13</f>
        <v>200</v>
      </c>
      <c r="T13" s="98">
        <v>100</v>
      </c>
      <c r="U13" s="99">
        <v>100</v>
      </c>
      <c r="V13" s="100">
        <v>100</v>
      </c>
      <c r="W13" s="101">
        <v>200</v>
      </c>
      <c r="X13" s="99"/>
      <c r="Y13" s="102">
        <v>100</v>
      </c>
    </row>
    <row r="14" spans="1:25" x14ac:dyDescent="0.35">
      <c r="A14" s="23" t="s">
        <v>40</v>
      </c>
      <c r="B14" s="22" t="s">
        <v>54</v>
      </c>
      <c r="C14" s="23" t="s">
        <v>57</v>
      </c>
      <c r="D14" s="61">
        <v>75</v>
      </c>
      <c r="E14" s="66">
        <v>34</v>
      </c>
      <c r="F14" s="63">
        <v>68</v>
      </c>
      <c r="G14" s="73">
        <f>(D14-(H14*(18/100)))*(100/46)</f>
        <v>134.12098298676747</v>
      </c>
      <c r="H14" s="76">
        <f t="shared" ref="H14:H39" si="5">E14*(100/46)</f>
        <v>73.91304347826086</v>
      </c>
      <c r="I14" s="75">
        <f t="shared" ref="I14:I39" si="6">F14*(100/50)</f>
        <v>136</v>
      </c>
      <c r="J14" s="61">
        <f t="shared" ref="J14:J39" si="7">((D14/2)-(K14*(18/100)))*(100/21)</f>
        <v>115.21739130434784</v>
      </c>
      <c r="K14" s="66">
        <f t="shared" ref="K14:K39" si="8">E14*(100/46)</f>
        <v>73.91304347826086</v>
      </c>
      <c r="L14" s="63">
        <f t="shared" ref="L14:L39" si="9">(F14/2)*(100/50)</f>
        <v>68</v>
      </c>
      <c r="M14" s="61">
        <f t="shared" ref="M14:M39" si="10">(D14/2)*(100/21)</f>
        <v>178.57142857142858</v>
      </c>
      <c r="N14" s="76"/>
      <c r="O14" s="75">
        <f t="shared" ref="O14:O39" si="11">(F14/2)*(100/50)</f>
        <v>68</v>
      </c>
      <c r="Q14" s="80">
        <f t="shared" ref="Q14:S39" si="12">T14+W14</f>
        <v>300</v>
      </c>
      <c r="R14" s="80">
        <f t="shared" si="12"/>
        <v>100</v>
      </c>
      <c r="S14" s="80">
        <f t="shared" si="12"/>
        <v>200</v>
      </c>
      <c r="T14" s="103">
        <v>100</v>
      </c>
      <c r="U14" s="67">
        <v>100</v>
      </c>
      <c r="V14" s="64">
        <v>100</v>
      </c>
      <c r="W14" s="65">
        <v>200</v>
      </c>
      <c r="X14" s="67"/>
      <c r="Y14" s="104">
        <v>100</v>
      </c>
    </row>
    <row r="15" spans="1:25" s="24" customFormat="1" ht="18.600000000000001" thickBot="1" x14ac:dyDescent="0.4">
      <c r="A15" s="23" t="s">
        <v>40</v>
      </c>
      <c r="B15" s="22" t="s">
        <v>54</v>
      </c>
      <c r="C15" s="23" t="s">
        <v>58</v>
      </c>
      <c r="D15" s="68">
        <v>75</v>
      </c>
      <c r="E15" s="69">
        <v>34</v>
      </c>
      <c r="F15" s="70">
        <v>34</v>
      </c>
      <c r="G15" s="73">
        <f>(D15-(H15*(18/100)))*(100/46)</f>
        <v>134.12098298676747</v>
      </c>
      <c r="H15" s="76">
        <f t="shared" si="5"/>
        <v>73.91304347826086</v>
      </c>
      <c r="I15" s="75">
        <f t="shared" si="6"/>
        <v>68</v>
      </c>
      <c r="J15" s="61">
        <f t="shared" si="7"/>
        <v>115.21739130434784</v>
      </c>
      <c r="K15" s="66">
        <f t="shared" si="8"/>
        <v>73.91304347826086</v>
      </c>
      <c r="L15" s="63">
        <f t="shared" si="9"/>
        <v>34</v>
      </c>
      <c r="M15" s="61">
        <f t="shared" si="10"/>
        <v>178.57142857142858</v>
      </c>
      <c r="N15" s="76"/>
      <c r="O15" s="75">
        <f t="shared" si="11"/>
        <v>34</v>
      </c>
      <c r="Q15" s="80">
        <f t="shared" si="12"/>
        <v>300</v>
      </c>
      <c r="R15" s="80">
        <f t="shared" si="12"/>
        <v>100</v>
      </c>
      <c r="S15" s="80">
        <f t="shared" si="12"/>
        <v>200</v>
      </c>
      <c r="T15" s="105">
        <v>100</v>
      </c>
      <c r="U15" s="106">
        <v>100</v>
      </c>
      <c r="V15" s="107">
        <v>100</v>
      </c>
      <c r="W15" s="108">
        <v>200</v>
      </c>
      <c r="X15" s="106"/>
      <c r="Y15" s="109">
        <v>100</v>
      </c>
    </row>
    <row r="16" spans="1:25" x14ac:dyDescent="0.35">
      <c r="A16" s="25" t="s">
        <v>40</v>
      </c>
      <c r="B16" s="111" t="s">
        <v>55</v>
      </c>
      <c r="C16" s="25" t="s">
        <v>56</v>
      </c>
      <c r="D16" s="71">
        <v>75</v>
      </c>
      <c r="E16" s="62">
        <v>17</v>
      </c>
      <c r="F16" s="72">
        <v>136</v>
      </c>
      <c r="G16" s="73">
        <f>(D16-(H16*(18/100)))*(100/46)</f>
        <v>148.5822306238185</v>
      </c>
      <c r="H16" s="76">
        <f t="shared" si="5"/>
        <v>36.95652173913043</v>
      </c>
      <c r="I16" s="75">
        <f t="shared" si="6"/>
        <v>272</v>
      </c>
      <c r="J16" s="61">
        <f t="shared" si="7"/>
        <v>146.89440993788821</v>
      </c>
      <c r="K16" s="66">
        <f t="shared" si="8"/>
        <v>36.95652173913043</v>
      </c>
      <c r="L16" s="63">
        <f t="shared" si="9"/>
        <v>136</v>
      </c>
      <c r="M16" s="61">
        <f t="shared" si="10"/>
        <v>178.57142857142858</v>
      </c>
      <c r="N16" s="76"/>
      <c r="O16" s="75">
        <f t="shared" si="11"/>
        <v>136</v>
      </c>
      <c r="Q16" s="80">
        <f t="shared" si="12"/>
        <v>300</v>
      </c>
      <c r="R16" s="80">
        <f t="shared" si="12"/>
        <v>100</v>
      </c>
      <c r="S16" s="80">
        <f t="shared" si="12"/>
        <v>200</v>
      </c>
      <c r="T16" s="103">
        <v>100</v>
      </c>
      <c r="U16" s="67">
        <v>100</v>
      </c>
      <c r="V16" s="100">
        <v>100</v>
      </c>
      <c r="W16" s="65">
        <v>200</v>
      </c>
      <c r="X16" s="67"/>
      <c r="Y16" s="102">
        <v>100</v>
      </c>
    </row>
    <row r="17" spans="1:25" x14ac:dyDescent="0.35">
      <c r="A17" s="25" t="s">
        <v>40</v>
      </c>
      <c r="B17" s="26" t="s">
        <v>55</v>
      </c>
      <c r="C17" s="25" t="s">
        <v>57</v>
      </c>
      <c r="D17" s="61">
        <v>75</v>
      </c>
      <c r="E17" s="66">
        <v>17</v>
      </c>
      <c r="F17" s="63">
        <v>68</v>
      </c>
      <c r="G17" s="73">
        <f>(D17-(H17*(18/100)))*(100/46)</f>
        <v>148.5822306238185</v>
      </c>
      <c r="H17" s="76">
        <f t="shared" si="5"/>
        <v>36.95652173913043</v>
      </c>
      <c r="I17" s="75">
        <f t="shared" si="6"/>
        <v>136</v>
      </c>
      <c r="J17" s="61">
        <f t="shared" si="7"/>
        <v>146.89440993788821</v>
      </c>
      <c r="K17" s="66">
        <f t="shared" si="8"/>
        <v>36.95652173913043</v>
      </c>
      <c r="L17" s="63">
        <f t="shared" si="9"/>
        <v>68</v>
      </c>
      <c r="M17" s="61">
        <f t="shared" si="10"/>
        <v>178.57142857142858</v>
      </c>
      <c r="N17" s="76"/>
      <c r="O17" s="75">
        <f t="shared" si="11"/>
        <v>68</v>
      </c>
      <c r="Q17" s="80">
        <f t="shared" si="12"/>
        <v>300</v>
      </c>
      <c r="R17" s="80">
        <f t="shared" si="12"/>
        <v>100</v>
      </c>
      <c r="S17" s="80">
        <f t="shared" si="12"/>
        <v>200</v>
      </c>
      <c r="T17" s="103">
        <v>100</v>
      </c>
      <c r="U17" s="67">
        <v>100</v>
      </c>
      <c r="V17" s="64">
        <v>100</v>
      </c>
      <c r="W17" s="65">
        <v>200</v>
      </c>
      <c r="X17" s="67"/>
      <c r="Y17" s="104">
        <v>100</v>
      </c>
    </row>
    <row r="18" spans="1:25" ht="18.600000000000001" thickBot="1" x14ac:dyDescent="0.4">
      <c r="A18" s="25" t="s">
        <v>40</v>
      </c>
      <c r="B18" s="26" t="s">
        <v>55</v>
      </c>
      <c r="C18" s="25" t="s">
        <v>58</v>
      </c>
      <c r="D18" s="68">
        <v>75</v>
      </c>
      <c r="E18" s="69">
        <v>17</v>
      </c>
      <c r="F18" s="70">
        <v>34</v>
      </c>
      <c r="G18" s="73">
        <f t="shared" ref="G18:G39" si="13">(D18-(H18*(18/100)))*(100/46)</f>
        <v>148.5822306238185</v>
      </c>
      <c r="H18" s="76">
        <f t="shared" si="5"/>
        <v>36.95652173913043</v>
      </c>
      <c r="I18" s="75">
        <f t="shared" si="6"/>
        <v>68</v>
      </c>
      <c r="J18" s="61">
        <f t="shared" si="7"/>
        <v>146.89440993788821</v>
      </c>
      <c r="K18" s="66">
        <f t="shared" si="8"/>
        <v>36.95652173913043</v>
      </c>
      <c r="L18" s="63">
        <f t="shared" si="9"/>
        <v>34</v>
      </c>
      <c r="M18" s="61">
        <f t="shared" si="10"/>
        <v>178.57142857142858</v>
      </c>
      <c r="N18" s="76"/>
      <c r="O18" s="75">
        <f t="shared" si="11"/>
        <v>34</v>
      </c>
      <c r="Q18" s="80">
        <f t="shared" si="12"/>
        <v>300</v>
      </c>
      <c r="R18" s="80">
        <f t="shared" si="12"/>
        <v>100</v>
      </c>
      <c r="S18" s="80">
        <f t="shared" si="12"/>
        <v>200</v>
      </c>
      <c r="T18" s="105">
        <v>100</v>
      </c>
      <c r="U18" s="106">
        <v>100</v>
      </c>
      <c r="V18" s="107">
        <v>100</v>
      </c>
      <c r="W18" s="108">
        <v>200</v>
      </c>
      <c r="X18" s="106"/>
      <c r="Y18" s="109">
        <v>100</v>
      </c>
    </row>
    <row r="19" spans="1:25" x14ac:dyDescent="0.35">
      <c r="A19" s="27" t="s">
        <v>40</v>
      </c>
      <c r="B19" s="28" t="s">
        <v>18</v>
      </c>
      <c r="C19" s="27" t="s">
        <v>56</v>
      </c>
      <c r="D19" s="61">
        <v>75</v>
      </c>
      <c r="E19" s="66">
        <v>0</v>
      </c>
      <c r="F19" s="63">
        <v>136</v>
      </c>
      <c r="G19" s="73">
        <f t="shared" si="13"/>
        <v>163.04347826086956</v>
      </c>
      <c r="H19" s="76">
        <f t="shared" si="5"/>
        <v>0</v>
      </c>
      <c r="I19" s="75">
        <f t="shared" si="6"/>
        <v>272</v>
      </c>
      <c r="J19" s="61">
        <f t="shared" si="7"/>
        <v>178.57142857142858</v>
      </c>
      <c r="K19" s="66">
        <f t="shared" si="8"/>
        <v>0</v>
      </c>
      <c r="L19" s="63">
        <f t="shared" si="9"/>
        <v>136</v>
      </c>
      <c r="M19" s="61">
        <f t="shared" si="10"/>
        <v>178.57142857142858</v>
      </c>
      <c r="N19" s="76"/>
      <c r="O19" s="75">
        <f t="shared" si="11"/>
        <v>136</v>
      </c>
      <c r="Q19" s="80">
        <f t="shared" si="12"/>
        <v>400</v>
      </c>
      <c r="R19" s="80">
        <f t="shared" si="12"/>
        <v>0</v>
      </c>
      <c r="S19" s="80">
        <f t="shared" si="12"/>
        <v>200</v>
      </c>
      <c r="T19" s="103">
        <v>200</v>
      </c>
      <c r="U19" s="67">
        <v>0</v>
      </c>
      <c r="V19" s="100">
        <v>100</v>
      </c>
      <c r="W19" s="65">
        <v>200</v>
      </c>
      <c r="X19" s="67"/>
      <c r="Y19" s="102">
        <v>100</v>
      </c>
    </row>
    <row r="20" spans="1:25" x14ac:dyDescent="0.35">
      <c r="A20" s="27" t="s">
        <v>40</v>
      </c>
      <c r="B20" s="28" t="s">
        <v>18</v>
      </c>
      <c r="C20" s="27" t="s">
        <v>57</v>
      </c>
      <c r="D20" s="61">
        <v>75</v>
      </c>
      <c r="E20" s="66">
        <v>0</v>
      </c>
      <c r="F20" s="63">
        <v>68</v>
      </c>
      <c r="G20" s="73">
        <f t="shared" si="13"/>
        <v>163.04347826086956</v>
      </c>
      <c r="H20" s="76">
        <f t="shared" si="5"/>
        <v>0</v>
      </c>
      <c r="I20" s="75">
        <f t="shared" si="6"/>
        <v>136</v>
      </c>
      <c r="J20" s="61">
        <f t="shared" si="7"/>
        <v>178.57142857142858</v>
      </c>
      <c r="K20" s="66">
        <f t="shared" si="8"/>
        <v>0</v>
      </c>
      <c r="L20" s="63">
        <f t="shared" si="9"/>
        <v>68</v>
      </c>
      <c r="M20" s="61">
        <f t="shared" si="10"/>
        <v>178.57142857142858</v>
      </c>
      <c r="N20" s="76"/>
      <c r="O20" s="75">
        <f t="shared" si="11"/>
        <v>68</v>
      </c>
      <c r="Q20" s="80">
        <f t="shared" si="12"/>
        <v>400</v>
      </c>
      <c r="R20" s="80">
        <f t="shared" si="12"/>
        <v>0</v>
      </c>
      <c r="S20" s="80">
        <f t="shared" si="12"/>
        <v>200</v>
      </c>
      <c r="T20" s="103">
        <v>200</v>
      </c>
      <c r="U20" s="67">
        <v>0</v>
      </c>
      <c r="V20" s="64">
        <v>100</v>
      </c>
      <c r="W20" s="65">
        <v>200</v>
      </c>
      <c r="X20" s="67"/>
      <c r="Y20" s="104">
        <v>100</v>
      </c>
    </row>
    <row r="21" spans="1:25" ht="18.600000000000001" thickBot="1" x14ac:dyDescent="0.4">
      <c r="A21" s="27" t="s">
        <v>40</v>
      </c>
      <c r="B21" s="28" t="s">
        <v>18</v>
      </c>
      <c r="C21" s="27" t="s">
        <v>58</v>
      </c>
      <c r="D21" s="68">
        <v>75</v>
      </c>
      <c r="E21" s="69">
        <v>0</v>
      </c>
      <c r="F21" s="70">
        <v>34</v>
      </c>
      <c r="G21" s="73">
        <f t="shared" si="13"/>
        <v>163.04347826086956</v>
      </c>
      <c r="H21" s="76">
        <f t="shared" si="5"/>
        <v>0</v>
      </c>
      <c r="I21" s="75">
        <f t="shared" si="6"/>
        <v>68</v>
      </c>
      <c r="J21" s="61">
        <f t="shared" si="7"/>
        <v>178.57142857142858</v>
      </c>
      <c r="K21" s="66">
        <f t="shared" si="8"/>
        <v>0</v>
      </c>
      <c r="L21" s="63">
        <f t="shared" si="9"/>
        <v>34</v>
      </c>
      <c r="M21" s="61">
        <f t="shared" si="10"/>
        <v>178.57142857142858</v>
      </c>
      <c r="N21" s="76"/>
      <c r="O21" s="75">
        <f>(F21/2)*(100/50)</f>
        <v>34</v>
      </c>
      <c r="Q21" s="80">
        <f t="shared" si="12"/>
        <v>400</v>
      </c>
      <c r="R21" s="80">
        <f t="shared" si="12"/>
        <v>0</v>
      </c>
      <c r="S21" s="80">
        <f t="shared" si="12"/>
        <v>200</v>
      </c>
      <c r="T21" s="105">
        <v>200</v>
      </c>
      <c r="U21" s="106">
        <v>0</v>
      </c>
      <c r="V21" s="107">
        <v>100</v>
      </c>
      <c r="W21" s="108">
        <v>200</v>
      </c>
      <c r="X21" s="106"/>
      <c r="Y21" s="109">
        <v>100</v>
      </c>
    </row>
    <row r="22" spans="1:25" x14ac:dyDescent="0.35">
      <c r="A22" s="29" t="s">
        <v>41</v>
      </c>
      <c r="B22" s="30" t="s">
        <v>54</v>
      </c>
      <c r="C22" s="31" t="s">
        <v>56</v>
      </c>
      <c r="D22" s="71">
        <v>50</v>
      </c>
      <c r="E22" s="62">
        <v>34</v>
      </c>
      <c r="F22" s="63">
        <v>136</v>
      </c>
      <c r="G22" s="73">
        <f t="shared" si="13"/>
        <v>79.773156899810971</v>
      </c>
      <c r="H22" s="76">
        <f t="shared" si="5"/>
        <v>73.91304347826086</v>
      </c>
      <c r="I22" s="75">
        <f t="shared" si="6"/>
        <v>272</v>
      </c>
      <c r="J22" s="61">
        <f t="shared" si="7"/>
        <v>55.69358178053831</v>
      </c>
      <c r="K22" s="66">
        <f t="shared" si="8"/>
        <v>73.91304347826086</v>
      </c>
      <c r="L22" s="63">
        <f t="shared" si="9"/>
        <v>136</v>
      </c>
      <c r="M22" s="61">
        <f t="shared" si="10"/>
        <v>119.04761904761905</v>
      </c>
      <c r="N22" s="76"/>
      <c r="O22" s="75">
        <f t="shared" si="11"/>
        <v>136</v>
      </c>
      <c r="Q22" s="80">
        <f t="shared" si="12"/>
        <v>200</v>
      </c>
      <c r="R22" s="80">
        <f t="shared" si="12"/>
        <v>100</v>
      </c>
      <c r="S22" s="80">
        <f t="shared" si="12"/>
        <v>200</v>
      </c>
      <c r="T22" s="103">
        <v>100</v>
      </c>
      <c r="U22" s="99">
        <v>100</v>
      </c>
      <c r="V22" s="100">
        <v>100</v>
      </c>
      <c r="W22" s="65">
        <v>100</v>
      </c>
      <c r="X22" s="67"/>
      <c r="Y22" s="102">
        <v>100</v>
      </c>
    </row>
    <row r="23" spans="1:25" x14ac:dyDescent="0.35">
      <c r="A23" s="29" t="s">
        <v>41</v>
      </c>
      <c r="B23" s="30" t="s">
        <v>54</v>
      </c>
      <c r="C23" s="31" t="s">
        <v>57</v>
      </c>
      <c r="D23" s="61">
        <v>50</v>
      </c>
      <c r="E23" s="66">
        <v>34</v>
      </c>
      <c r="F23" s="63">
        <v>68</v>
      </c>
      <c r="G23" s="73">
        <f t="shared" si="13"/>
        <v>79.773156899810971</v>
      </c>
      <c r="H23" s="76">
        <f t="shared" si="5"/>
        <v>73.91304347826086</v>
      </c>
      <c r="I23" s="75">
        <f t="shared" si="6"/>
        <v>136</v>
      </c>
      <c r="J23" s="61">
        <f t="shared" si="7"/>
        <v>55.69358178053831</v>
      </c>
      <c r="K23" s="66">
        <f t="shared" si="8"/>
        <v>73.91304347826086</v>
      </c>
      <c r="L23" s="63">
        <f t="shared" si="9"/>
        <v>68</v>
      </c>
      <c r="M23" s="61">
        <f t="shared" si="10"/>
        <v>119.04761904761905</v>
      </c>
      <c r="N23" s="76"/>
      <c r="O23" s="75">
        <f t="shared" si="11"/>
        <v>68</v>
      </c>
      <c r="Q23" s="80">
        <f t="shared" si="12"/>
        <v>200</v>
      </c>
      <c r="R23" s="80">
        <f t="shared" si="12"/>
        <v>100</v>
      </c>
      <c r="S23" s="80">
        <f t="shared" si="12"/>
        <v>200</v>
      </c>
      <c r="T23" s="103">
        <v>100</v>
      </c>
      <c r="U23" s="67">
        <v>100</v>
      </c>
      <c r="V23" s="64">
        <v>100</v>
      </c>
      <c r="W23" s="65">
        <v>100</v>
      </c>
      <c r="X23" s="67"/>
      <c r="Y23" s="104">
        <v>100</v>
      </c>
    </row>
    <row r="24" spans="1:25" ht="18.600000000000001" thickBot="1" x14ac:dyDescent="0.4">
      <c r="A24" s="29" t="s">
        <v>41</v>
      </c>
      <c r="B24" s="30" t="s">
        <v>54</v>
      </c>
      <c r="C24" s="31" t="s">
        <v>58</v>
      </c>
      <c r="D24" s="68">
        <v>50</v>
      </c>
      <c r="E24" s="69">
        <v>34</v>
      </c>
      <c r="F24" s="70">
        <v>34</v>
      </c>
      <c r="G24" s="73">
        <f t="shared" si="13"/>
        <v>79.773156899810971</v>
      </c>
      <c r="H24" s="76">
        <f t="shared" si="5"/>
        <v>73.91304347826086</v>
      </c>
      <c r="I24" s="75">
        <f t="shared" si="6"/>
        <v>68</v>
      </c>
      <c r="J24" s="61">
        <f t="shared" si="7"/>
        <v>55.69358178053831</v>
      </c>
      <c r="K24" s="66">
        <f t="shared" si="8"/>
        <v>73.91304347826086</v>
      </c>
      <c r="L24" s="63">
        <f t="shared" si="9"/>
        <v>34</v>
      </c>
      <c r="M24" s="61">
        <f t="shared" si="10"/>
        <v>119.04761904761905</v>
      </c>
      <c r="N24" s="76"/>
      <c r="O24" s="75">
        <f t="shared" si="11"/>
        <v>34</v>
      </c>
      <c r="Q24" s="80">
        <f t="shared" si="12"/>
        <v>200</v>
      </c>
      <c r="R24" s="80">
        <f t="shared" si="12"/>
        <v>100</v>
      </c>
      <c r="S24" s="80">
        <f t="shared" si="12"/>
        <v>200</v>
      </c>
      <c r="T24" s="105">
        <v>100</v>
      </c>
      <c r="U24" s="106">
        <v>100</v>
      </c>
      <c r="V24" s="107">
        <v>100</v>
      </c>
      <c r="W24" s="108">
        <v>100</v>
      </c>
      <c r="X24" s="106"/>
      <c r="Y24" s="109">
        <v>100</v>
      </c>
    </row>
    <row r="25" spans="1:25" x14ac:dyDescent="0.35">
      <c r="A25" s="32" t="s">
        <v>41</v>
      </c>
      <c r="B25" s="33" t="s">
        <v>55</v>
      </c>
      <c r="C25" s="34" t="s">
        <v>56</v>
      </c>
      <c r="D25" s="61">
        <v>50</v>
      </c>
      <c r="E25" s="62">
        <v>17</v>
      </c>
      <c r="F25" s="72">
        <v>136</v>
      </c>
      <c r="G25" s="73">
        <f t="shared" si="13"/>
        <v>94.234404536862002</v>
      </c>
      <c r="H25" s="76">
        <f t="shared" si="5"/>
        <v>36.95652173913043</v>
      </c>
      <c r="I25" s="75">
        <f t="shared" si="6"/>
        <v>272</v>
      </c>
      <c r="J25" s="61">
        <f t="shared" si="7"/>
        <v>87.37060041407868</v>
      </c>
      <c r="K25" s="66">
        <f t="shared" si="8"/>
        <v>36.95652173913043</v>
      </c>
      <c r="L25" s="63">
        <f t="shared" si="9"/>
        <v>136</v>
      </c>
      <c r="M25" s="61">
        <f t="shared" si="10"/>
        <v>119.04761904761905</v>
      </c>
      <c r="N25" s="76"/>
      <c r="O25" s="75">
        <f t="shared" si="11"/>
        <v>136</v>
      </c>
      <c r="Q25" s="80">
        <f t="shared" si="12"/>
        <v>200</v>
      </c>
      <c r="R25" s="80">
        <f t="shared" si="12"/>
        <v>100</v>
      </c>
      <c r="S25" s="80">
        <f t="shared" si="12"/>
        <v>200</v>
      </c>
      <c r="T25" s="103">
        <v>100</v>
      </c>
      <c r="U25" s="67">
        <v>100</v>
      </c>
      <c r="V25" s="100">
        <v>100</v>
      </c>
      <c r="W25" s="65">
        <v>100</v>
      </c>
      <c r="X25" s="67"/>
      <c r="Y25" s="102">
        <v>100</v>
      </c>
    </row>
    <row r="26" spans="1:25" x14ac:dyDescent="0.35">
      <c r="A26" s="32" t="s">
        <v>41</v>
      </c>
      <c r="B26" s="33" t="s">
        <v>55</v>
      </c>
      <c r="C26" s="34" t="s">
        <v>57</v>
      </c>
      <c r="D26" s="61">
        <v>50</v>
      </c>
      <c r="E26" s="66">
        <v>17</v>
      </c>
      <c r="F26" s="63">
        <v>68</v>
      </c>
      <c r="G26" s="73">
        <f t="shared" si="13"/>
        <v>94.234404536862002</v>
      </c>
      <c r="H26" s="76">
        <f t="shared" si="5"/>
        <v>36.95652173913043</v>
      </c>
      <c r="I26" s="75">
        <f t="shared" si="6"/>
        <v>136</v>
      </c>
      <c r="J26" s="61">
        <f t="shared" si="7"/>
        <v>87.37060041407868</v>
      </c>
      <c r="K26" s="66">
        <f t="shared" si="8"/>
        <v>36.95652173913043</v>
      </c>
      <c r="L26" s="63">
        <f t="shared" si="9"/>
        <v>68</v>
      </c>
      <c r="M26" s="61">
        <f t="shared" si="10"/>
        <v>119.04761904761905</v>
      </c>
      <c r="N26" s="76"/>
      <c r="O26" s="75">
        <f t="shared" si="11"/>
        <v>68</v>
      </c>
      <c r="Q26" s="80">
        <f t="shared" si="12"/>
        <v>200</v>
      </c>
      <c r="R26" s="80">
        <f t="shared" si="12"/>
        <v>100</v>
      </c>
      <c r="S26" s="80">
        <f t="shared" si="12"/>
        <v>200</v>
      </c>
      <c r="T26" s="103">
        <v>100</v>
      </c>
      <c r="U26" s="67">
        <v>100</v>
      </c>
      <c r="V26" s="64">
        <v>100</v>
      </c>
      <c r="W26" s="65">
        <v>100</v>
      </c>
      <c r="X26" s="67"/>
      <c r="Y26" s="104">
        <v>100</v>
      </c>
    </row>
    <row r="27" spans="1:25" ht="18.600000000000001" thickBot="1" x14ac:dyDescent="0.4">
      <c r="A27" s="32" t="s">
        <v>41</v>
      </c>
      <c r="B27" s="33" t="s">
        <v>55</v>
      </c>
      <c r="C27" s="34" t="s">
        <v>58</v>
      </c>
      <c r="D27" s="68">
        <v>50</v>
      </c>
      <c r="E27" s="69">
        <v>17</v>
      </c>
      <c r="F27" s="70">
        <v>34</v>
      </c>
      <c r="G27" s="73">
        <f t="shared" si="13"/>
        <v>94.234404536862002</v>
      </c>
      <c r="H27" s="76">
        <f t="shared" si="5"/>
        <v>36.95652173913043</v>
      </c>
      <c r="I27" s="75">
        <f t="shared" si="6"/>
        <v>68</v>
      </c>
      <c r="J27" s="61">
        <f t="shared" si="7"/>
        <v>87.37060041407868</v>
      </c>
      <c r="K27" s="66">
        <f t="shared" si="8"/>
        <v>36.95652173913043</v>
      </c>
      <c r="L27" s="63">
        <f t="shared" si="9"/>
        <v>34</v>
      </c>
      <c r="M27" s="61">
        <f t="shared" si="10"/>
        <v>119.04761904761905</v>
      </c>
      <c r="N27" s="76"/>
      <c r="O27" s="75">
        <f t="shared" si="11"/>
        <v>34</v>
      </c>
      <c r="Q27" s="80">
        <f t="shared" si="12"/>
        <v>200</v>
      </c>
      <c r="R27" s="80">
        <f t="shared" si="12"/>
        <v>100</v>
      </c>
      <c r="S27" s="80">
        <f t="shared" si="12"/>
        <v>200</v>
      </c>
      <c r="T27" s="105">
        <v>100</v>
      </c>
      <c r="U27" s="106">
        <v>100</v>
      </c>
      <c r="V27" s="107">
        <v>100</v>
      </c>
      <c r="W27" s="108">
        <v>100</v>
      </c>
      <c r="X27" s="106"/>
      <c r="Y27" s="109">
        <v>100</v>
      </c>
    </row>
    <row r="28" spans="1:25" x14ac:dyDescent="0.35">
      <c r="A28" s="35" t="s">
        <v>41</v>
      </c>
      <c r="B28" s="36" t="s">
        <v>18</v>
      </c>
      <c r="C28" s="37" t="s">
        <v>56</v>
      </c>
      <c r="D28" s="71">
        <v>50</v>
      </c>
      <c r="E28" s="62">
        <v>0</v>
      </c>
      <c r="F28" s="72">
        <v>136</v>
      </c>
      <c r="G28" s="73">
        <f t="shared" si="13"/>
        <v>108.69565217391303</v>
      </c>
      <c r="H28" s="76">
        <f t="shared" si="5"/>
        <v>0</v>
      </c>
      <c r="I28" s="75">
        <f t="shared" si="6"/>
        <v>272</v>
      </c>
      <c r="J28" s="61">
        <f t="shared" si="7"/>
        <v>119.04761904761905</v>
      </c>
      <c r="K28" s="66">
        <f t="shared" si="8"/>
        <v>0</v>
      </c>
      <c r="L28" s="63">
        <f t="shared" si="9"/>
        <v>136</v>
      </c>
      <c r="M28" s="61">
        <f t="shared" si="10"/>
        <v>119.04761904761905</v>
      </c>
      <c r="N28" s="76"/>
      <c r="O28" s="75">
        <f t="shared" si="11"/>
        <v>136</v>
      </c>
      <c r="Q28" s="80">
        <f t="shared" si="12"/>
        <v>200</v>
      </c>
      <c r="R28" s="80">
        <f t="shared" si="12"/>
        <v>0</v>
      </c>
      <c r="S28" s="80">
        <f t="shared" si="12"/>
        <v>200</v>
      </c>
      <c r="T28" s="103">
        <v>100</v>
      </c>
      <c r="U28" s="67">
        <v>0</v>
      </c>
      <c r="V28" s="100">
        <v>100</v>
      </c>
      <c r="W28" s="65">
        <v>100</v>
      </c>
      <c r="X28" s="67"/>
      <c r="Y28" s="102">
        <v>100</v>
      </c>
    </row>
    <row r="29" spans="1:25" x14ac:dyDescent="0.35">
      <c r="A29" s="35" t="s">
        <v>41</v>
      </c>
      <c r="B29" s="36" t="s">
        <v>18</v>
      </c>
      <c r="C29" s="37" t="s">
        <v>57</v>
      </c>
      <c r="D29" s="61">
        <v>50</v>
      </c>
      <c r="E29" s="66">
        <v>0</v>
      </c>
      <c r="F29" s="63">
        <v>68</v>
      </c>
      <c r="G29" s="73">
        <f t="shared" si="13"/>
        <v>108.69565217391303</v>
      </c>
      <c r="H29" s="76">
        <f t="shared" si="5"/>
        <v>0</v>
      </c>
      <c r="I29" s="75">
        <f t="shared" si="6"/>
        <v>136</v>
      </c>
      <c r="J29" s="61">
        <f t="shared" si="7"/>
        <v>119.04761904761905</v>
      </c>
      <c r="K29" s="66">
        <f t="shared" si="8"/>
        <v>0</v>
      </c>
      <c r="L29" s="63">
        <f t="shared" si="9"/>
        <v>68</v>
      </c>
      <c r="M29" s="61">
        <f t="shared" si="10"/>
        <v>119.04761904761905</v>
      </c>
      <c r="N29" s="76"/>
      <c r="O29" s="75">
        <f t="shared" si="11"/>
        <v>68</v>
      </c>
      <c r="Q29" s="80">
        <f t="shared" si="12"/>
        <v>200</v>
      </c>
      <c r="R29" s="80">
        <f t="shared" si="12"/>
        <v>0</v>
      </c>
      <c r="S29" s="80">
        <f t="shared" si="12"/>
        <v>200</v>
      </c>
      <c r="T29" s="103">
        <v>100</v>
      </c>
      <c r="U29" s="67">
        <v>0</v>
      </c>
      <c r="V29" s="64">
        <v>100</v>
      </c>
      <c r="W29" s="65">
        <v>100</v>
      </c>
      <c r="X29" s="67"/>
      <c r="Y29" s="104">
        <v>100</v>
      </c>
    </row>
    <row r="30" spans="1:25" ht="18.600000000000001" thickBot="1" x14ac:dyDescent="0.4">
      <c r="A30" s="35" t="s">
        <v>41</v>
      </c>
      <c r="B30" s="36" t="s">
        <v>18</v>
      </c>
      <c r="C30" s="37" t="s">
        <v>58</v>
      </c>
      <c r="D30" s="68">
        <v>50</v>
      </c>
      <c r="E30" s="69">
        <v>0</v>
      </c>
      <c r="F30" s="70">
        <v>34</v>
      </c>
      <c r="G30" s="73">
        <f t="shared" si="13"/>
        <v>108.69565217391303</v>
      </c>
      <c r="H30" s="76">
        <f t="shared" si="5"/>
        <v>0</v>
      </c>
      <c r="I30" s="75">
        <f t="shared" si="6"/>
        <v>68</v>
      </c>
      <c r="J30" s="61">
        <f t="shared" si="7"/>
        <v>119.04761904761905</v>
      </c>
      <c r="K30" s="66">
        <f t="shared" si="8"/>
        <v>0</v>
      </c>
      <c r="L30" s="63">
        <f t="shared" si="9"/>
        <v>34</v>
      </c>
      <c r="M30" s="61">
        <f t="shared" si="10"/>
        <v>119.04761904761905</v>
      </c>
      <c r="N30" s="76"/>
      <c r="O30" s="75">
        <f t="shared" si="11"/>
        <v>34</v>
      </c>
      <c r="Q30" s="80">
        <f t="shared" si="12"/>
        <v>200</v>
      </c>
      <c r="R30" s="80">
        <f t="shared" si="12"/>
        <v>0</v>
      </c>
      <c r="S30" s="80">
        <f t="shared" si="12"/>
        <v>200</v>
      </c>
      <c r="T30" s="105">
        <v>100</v>
      </c>
      <c r="U30" s="106">
        <v>0</v>
      </c>
      <c r="V30" s="107">
        <v>100</v>
      </c>
      <c r="W30" s="108">
        <v>100</v>
      </c>
      <c r="X30" s="106"/>
      <c r="Y30" s="109">
        <v>100</v>
      </c>
    </row>
    <row r="31" spans="1:25" x14ac:dyDescent="0.35">
      <c r="A31" s="38" t="s">
        <v>42</v>
      </c>
      <c r="B31" s="39" t="s">
        <v>54</v>
      </c>
      <c r="C31" s="40" t="s">
        <v>56</v>
      </c>
      <c r="D31" s="71">
        <v>25</v>
      </c>
      <c r="E31" s="62">
        <v>34</v>
      </c>
      <c r="F31" s="63">
        <v>136</v>
      </c>
      <c r="G31" s="73">
        <f t="shared" si="13"/>
        <v>25.425330812854444</v>
      </c>
      <c r="H31" s="76">
        <f t="shared" si="5"/>
        <v>73.91304347826086</v>
      </c>
      <c r="I31" s="75">
        <f t="shared" si="6"/>
        <v>272</v>
      </c>
      <c r="J31" s="61">
        <f t="shared" si="7"/>
        <v>-3.8302277432712151</v>
      </c>
      <c r="K31" s="66">
        <f t="shared" si="8"/>
        <v>73.91304347826086</v>
      </c>
      <c r="L31" s="63">
        <f t="shared" si="9"/>
        <v>136</v>
      </c>
      <c r="M31" s="61">
        <f t="shared" si="10"/>
        <v>59.523809523809526</v>
      </c>
      <c r="N31" s="76"/>
      <c r="O31" s="75">
        <f t="shared" si="11"/>
        <v>136</v>
      </c>
      <c r="Q31" s="80">
        <f t="shared" si="12"/>
        <v>100</v>
      </c>
      <c r="R31" s="80">
        <f t="shared" si="12"/>
        <v>100</v>
      </c>
      <c r="S31" s="80">
        <f t="shared" si="12"/>
        <v>200</v>
      </c>
      <c r="T31" s="103">
        <v>0</v>
      </c>
      <c r="U31" s="99">
        <v>100</v>
      </c>
      <c r="V31" s="100">
        <v>100</v>
      </c>
      <c r="W31" s="65">
        <v>100</v>
      </c>
      <c r="X31" s="67"/>
      <c r="Y31" s="102">
        <v>100</v>
      </c>
    </row>
    <row r="32" spans="1:25" x14ac:dyDescent="0.35">
      <c r="A32" s="38" t="s">
        <v>42</v>
      </c>
      <c r="B32" s="39" t="s">
        <v>54</v>
      </c>
      <c r="C32" s="40" t="s">
        <v>57</v>
      </c>
      <c r="D32" s="61">
        <v>25</v>
      </c>
      <c r="E32" s="66">
        <v>34</v>
      </c>
      <c r="F32" s="63">
        <v>68</v>
      </c>
      <c r="G32" s="73">
        <f t="shared" si="13"/>
        <v>25.425330812854444</v>
      </c>
      <c r="H32" s="76">
        <f t="shared" si="5"/>
        <v>73.91304347826086</v>
      </c>
      <c r="I32" s="75">
        <f t="shared" si="6"/>
        <v>136</v>
      </c>
      <c r="J32" s="61">
        <f t="shared" si="7"/>
        <v>-3.8302277432712151</v>
      </c>
      <c r="K32" s="66">
        <f t="shared" si="8"/>
        <v>73.91304347826086</v>
      </c>
      <c r="L32" s="63">
        <f t="shared" si="9"/>
        <v>68</v>
      </c>
      <c r="M32" s="61">
        <f t="shared" si="10"/>
        <v>59.523809523809526</v>
      </c>
      <c r="N32" s="76"/>
      <c r="O32" s="75">
        <f t="shared" si="11"/>
        <v>68</v>
      </c>
      <c r="Q32" s="80">
        <f t="shared" si="12"/>
        <v>100</v>
      </c>
      <c r="R32" s="80">
        <f t="shared" si="12"/>
        <v>100</v>
      </c>
      <c r="S32" s="80">
        <f t="shared" si="12"/>
        <v>200</v>
      </c>
      <c r="T32" s="103">
        <v>0</v>
      </c>
      <c r="U32" s="67">
        <v>100</v>
      </c>
      <c r="V32" s="64">
        <v>100</v>
      </c>
      <c r="W32" s="65">
        <v>100</v>
      </c>
      <c r="X32" s="67"/>
      <c r="Y32" s="104">
        <v>100</v>
      </c>
    </row>
    <row r="33" spans="1:25" ht="18.600000000000001" thickBot="1" x14ac:dyDescent="0.4">
      <c r="A33" s="38" t="s">
        <v>42</v>
      </c>
      <c r="B33" s="39" t="s">
        <v>54</v>
      </c>
      <c r="C33" s="40" t="s">
        <v>58</v>
      </c>
      <c r="D33" s="68">
        <v>25</v>
      </c>
      <c r="E33" s="69">
        <v>34</v>
      </c>
      <c r="F33" s="70">
        <v>34</v>
      </c>
      <c r="G33" s="73">
        <f t="shared" si="13"/>
        <v>25.425330812854444</v>
      </c>
      <c r="H33" s="76">
        <f t="shared" si="5"/>
        <v>73.91304347826086</v>
      </c>
      <c r="I33" s="75">
        <f t="shared" si="6"/>
        <v>68</v>
      </c>
      <c r="J33" s="61">
        <f t="shared" si="7"/>
        <v>-3.8302277432712151</v>
      </c>
      <c r="K33" s="66">
        <f t="shared" si="8"/>
        <v>73.91304347826086</v>
      </c>
      <c r="L33" s="63">
        <f t="shared" si="9"/>
        <v>34</v>
      </c>
      <c r="M33" s="61">
        <f t="shared" si="10"/>
        <v>59.523809523809526</v>
      </c>
      <c r="N33" s="76"/>
      <c r="O33" s="75">
        <f t="shared" si="11"/>
        <v>34</v>
      </c>
      <c r="Q33" s="80">
        <f t="shared" si="12"/>
        <v>100</v>
      </c>
      <c r="R33" s="80">
        <f t="shared" si="12"/>
        <v>100</v>
      </c>
      <c r="S33" s="80">
        <f t="shared" si="12"/>
        <v>200</v>
      </c>
      <c r="T33" s="105">
        <v>0</v>
      </c>
      <c r="U33" s="106">
        <v>100</v>
      </c>
      <c r="V33" s="107">
        <v>100</v>
      </c>
      <c r="W33" s="108">
        <v>100</v>
      </c>
      <c r="X33" s="106"/>
      <c r="Y33" s="109">
        <v>100</v>
      </c>
    </row>
    <row r="34" spans="1:25" x14ac:dyDescent="0.35">
      <c r="A34" s="41" t="s">
        <v>42</v>
      </c>
      <c r="B34" s="42" t="s">
        <v>55</v>
      </c>
      <c r="C34" s="43" t="s">
        <v>56</v>
      </c>
      <c r="D34" s="71">
        <v>25</v>
      </c>
      <c r="E34" s="62">
        <v>17</v>
      </c>
      <c r="F34" s="72">
        <v>136</v>
      </c>
      <c r="G34" s="73">
        <f t="shared" si="13"/>
        <v>39.886578449905485</v>
      </c>
      <c r="H34" s="76">
        <f t="shared" si="5"/>
        <v>36.95652173913043</v>
      </c>
      <c r="I34" s="75">
        <f t="shared" si="6"/>
        <v>272</v>
      </c>
      <c r="J34" s="61">
        <f t="shared" si="7"/>
        <v>27.846790890269155</v>
      </c>
      <c r="K34" s="66">
        <f t="shared" si="8"/>
        <v>36.95652173913043</v>
      </c>
      <c r="L34" s="63">
        <f t="shared" si="9"/>
        <v>136</v>
      </c>
      <c r="M34" s="61">
        <f t="shared" si="10"/>
        <v>59.523809523809526</v>
      </c>
      <c r="N34" s="76"/>
      <c r="O34" s="75">
        <f t="shared" si="11"/>
        <v>136</v>
      </c>
      <c r="Q34" s="80">
        <f t="shared" si="12"/>
        <v>200</v>
      </c>
      <c r="R34" s="80">
        <f t="shared" si="12"/>
        <v>100</v>
      </c>
      <c r="S34" s="80">
        <f t="shared" si="12"/>
        <v>200</v>
      </c>
      <c r="T34" s="103">
        <v>100</v>
      </c>
      <c r="U34" s="67">
        <v>100</v>
      </c>
      <c r="V34" s="100">
        <v>100</v>
      </c>
      <c r="W34" s="65">
        <v>100</v>
      </c>
      <c r="X34" s="67"/>
      <c r="Y34" s="102">
        <v>100</v>
      </c>
    </row>
    <row r="35" spans="1:25" x14ac:dyDescent="0.35">
      <c r="A35" s="41" t="s">
        <v>42</v>
      </c>
      <c r="B35" s="42" t="s">
        <v>55</v>
      </c>
      <c r="C35" s="43" t="s">
        <v>57</v>
      </c>
      <c r="D35" s="61">
        <v>25</v>
      </c>
      <c r="E35" s="66">
        <v>17</v>
      </c>
      <c r="F35" s="63">
        <v>68</v>
      </c>
      <c r="G35" s="73">
        <f t="shared" si="13"/>
        <v>39.886578449905485</v>
      </c>
      <c r="H35" s="76">
        <f t="shared" si="5"/>
        <v>36.95652173913043</v>
      </c>
      <c r="I35" s="75">
        <f t="shared" si="6"/>
        <v>136</v>
      </c>
      <c r="J35" s="61">
        <f t="shared" si="7"/>
        <v>27.846790890269155</v>
      </c>
      <c r="K35" s="66">
        <f t="shared" si="8"/>
        <v>36.95652173913043</v>
      </c>
      <c r="L35" s="63">
        <f t="shared" si="9"/>
        <v>68</v>
      </c>
      <c r="M35" s="61">
        <f t="shared" si="10"/>
        <v>59.523809523809526</v>
      </c>
      <c r="N35" s="76"/>
      <c r="O35" s="75">
        <f t="shared" si="11"/>
        <v>68</v>
      </c>
      <c r="Q35" s="80">
        <f t="shared" si="12"/>
        <v>200</v>
      </c>
      <c r="R35" s="80">
        <f t="shared" si="12"/>
        <v>100</v>
      </c>
      <c r="S35" s="80">
        <f t="shared" si="12"/>
        <v>200</v>
      </c>
      <c r="T35" s="103">
        <v>100</v>
      </c>
      <c r="U35" s="67">
        <v>100</v>
      </c>
      <c r="V35" s="64">
        <v>100</v>
      </c>
      <c r="W35" s="65">
        <v>100</v>
      </c>
      <c r="X35" s="67"/>
      <c r="Y35" s="104">
        <v>100</v>
      </c>
    </row>
    <row r="36" spans="1:25" ht="18.600000000000001" thickBot="1" x14ac:dyDescent="0.4">
      <c r="A36" s="41" t="s">
        <v>42</v>
      </c>
      <c r="B36" s="42" t="s">
        <v>55</v>
      </c>
      <c r="C36" s="43" t="s">
        <v>58</v>
      </c>
      <c r="D36" s="68">
        <v>25</v>
      </c>
      <c r="E36" s="69">
        <v>17</v>
      </c>
      <c r="F36" s="70">
        <v>34</v>
      </c>
      <c r="G36" s="73">
        <f t="shared" si="13"/>
        <v>39.886578449905485</v>
      </c>
      <c r="H36" s="76">
        <f t="shared" si="5"/>
        <v>36.95652173913043</v>
      </c>
      <c r="I36" s="75">
        <f t="shared" si="6"/>
        <v>68</v>
      </c>
      <c r="J36" s="61">
        <f t="shared" si="7"/>
        <v>27.846790890269155</v>
      </c>
      <c r="K36" s="66">
        <f t="shared" si="8"/>
        <v>36.95652173913043</v>
      </c>
      <c r="L36" s="63">
        <f t="shared" si="9"/>
        <v>34</v>
      </c>
      <c r="M36" s="61">
        <f t="shared" si="10"/>
        <v>59.523809523809526</v>
      </c>
      <c r="N36" s="76"/>
      <c r="O36" s="75">
        <f t="shared" si="11"/>
        <v>34</v>
      </c>
      <c r="Q36" s="80">
        <f t="shared" si="12"/>
        <v>200</v>
      </c>
      <c r="R36" s="80">
        <f t="shared" si="12"/>
        <v>100</v>
      </c>
      <c r="S36" s="80">
        <f t="shared" si="12"/>
        <v>200</v>
      </c>
      <c r="T36" s="105">
        <v>100</v>
      </c>
      <c r="U36" s="106">
        <v>100</v>
      </c>
      <c r="V36" s="107">
        <v>100</v>
      </c>
      <c r="W36" s="108">
        <v>100</v>
      </c>
      <c r="X36" s="106"/>
      <c r="Y36" s="109">
        <v>100</v>
      </c>
    </row>
    <row r="37" spans="1:25" x14ac:dyDescent="0.35">
      <c r="A37" s="44" t="s">
        <v>42</v>
      </c>
      <c r="B37" s="45" t="s">
        <v>18</v>
      </c>
      <c r="C37" s="46" t="s">
        <v>56</v>
      </c>
      <c r="D37" s="71">
        <v>25</v>
      </c>
      <c r="E37" s="66">
        <v>0</v>
      </c>
      <c r="F37" s="63">
        <v>136</v>
      </c>
      <c r="G37" s="73">
        <f t="shared" si="13"/>
        <v>54.347826086956516</v>
      </c>
      <c r="H37" s="76">
        <f t="shared" si="5"/>
        <v>0</v>
      </c>
      <c r="I37" s="75">
        <f t="shared" si="6"/>
        <v>272</v>
      </c>
      <c r="J37" s="61">
        <f t="shared" si="7"/>
        <v>59.523809523809526</v>
      </c>
      <c r="K37" s="66">
        <f t="shared" si="8"/>
        <v>0</v>
      </c>
      <c r="L37" s="63">
        <f t="shared" si="9"/>
        <v>136</v>
      </c>
      <c r="M37" s="61">
        <f t="shared" si="10"/>
        <v>59.523809523809526</v>
      </c>
      <c r="N37" s="76"/>
      <c r="O37" s="75">
        <f t="shared" si="11"/>
        <v>136</v>
      </c>
      <c r="Q37" s="80">
        <f t="shared" si="12"/>
        <v>200</v>
      </c>
      <c r="R37" s="80">
        <f t="shared" si="12"/>
        <v>0</v>
      </c>
      <c r="S37" s="80">
        <f t="shared" si="12"/>
        <v>200</v>
      </c>
      <c r="T37" s="103">
        <v>100</v>
      </c>
      <c r="U37" s="67">
        <v>0</v>
      </c>
      <c r="V37" s="100">
        <v>100</v>
      </c>
      <c r="W37" s="65">
        <v>100</v>
      </c>
      <c r="X37" s="67"/>
      <c r="Y37" s="102">
        <v>100</v>
      </c>
    </row>
    <row r="38" spans="1:25" x14ac:dyDescent="0.35">
      <c r="A38" s="44" t="s">
        <v>42</v>
      </c>
      <c r="B38" s="45" t="s">
        <v>18</v>
      </c>
      <c r="C38" s="46" t="s">
        <v>57</v>
      </c>
      <c r="D38" s="61">
        <v>25</v>
      </c>
      <c r="E38" s="66">
        <v>0</v>
      </c>
      <c r="F38" s="63">
        <v>68</v>
      </c>
      <c r="G38" s="73">
        <f t="shared" si="13"/>
        <v>54.347826086956516</v>
      </c>
      <c r="H38" s="76">
        <f t="shared" si="5"/>
        <v>0</v>
      </c>
      <c r="I38" s="75">
        <f t="shared" si="6"/>
        <v>136</v>
      </c>
      <c r="J38" s="61">
        <f t="shared" si="7"/>
        <v>59.523809523809526</v>
      </c>
      <c r="K38" s="66">
        <f t="shared" si="8"/>
        <v>0</v>
      </c>
      <c r="L38" s="63">
        <f t="shared" si="9"/>
        <v>68</v>
      </c>
      <c r="M38" s="61">
        <f t="shared" si="10"/>
        <v>59.523809523809526</v>
      </c>
      <c r="N38" s="76"/>
      <c r="O38" s="75">
        <f t="shared" si="11"/>
        <v>68</v>
      </c>
      <c r="Q38" s="80">
        <f t="shared" si="12"/>
        <v>200</v>
      </c>
      <c r="R38" s="80">
        <f t="shared" si="12"/>
        <v>0</v>
      </c>
      <c r="S38" s="80">
        <f t="shared" si="12"/>
        <v>200</v>
      </c>
      <c r="T38" s="103">
        <v>100</v>
      </c>
      <c r="U38" s="67">
        <v>0</v>
      </c>
      <c r="V38" s="64">
        <v>100</v>
      </c>
      <c r="W38" s="65">
        <v>100</v>
      </c>
      <c r="X38" s="67"/>
      <c r="Y38" s="104">
        <v>100</v>
      </c>
    </row>
    <row r="39" spans="1:25" ht="18.600000000000001" thickBot="1" x14ac:dyDescent="0.4">
      <c r="A39" s="47" t="s">
        <v>42</v>
      </c>
      <c r="B39" s="48" t="s">
        <v>18</v>
      </c>
      <c r="C39" s="49" t="s">
        <v>58</v>
      </c>
      <c r="D39" s="68">
        <v>25</v>
      </c>
      <c r="E39" s="69">
        <v>0</v>
      </c>
      <c r="F39" s="70">
        <v>34</v>
      </c>
      <c r="G39" s="77">
        <f t="shared" si="13"/>
        <v>54.347826086956516</v>
      </c>
      <c r="H39" s="78">
        <f t="shared" si="5"/>
        <v>0</v>
      </c>
      <c r="I39" s="79">
        <f t="shared" si="6"/>
        <v>68</v>
      </c>
      <c r="J39" s="68">
        <f t="shared" si="7"/>
        <v>59.523809523809526</v>
      </c>
      <c r="K39" s="69">
        <f t="shared" si="8"/>
        <v>0</v>
      </c>
      <c r="L39" s="70">
        <f t="shared" si="9"/>
        <v>34</v>
      </c>
      <c r="M39" s="68">
        <f t="shared" si="10"/>
        <v>59.523809523809526</v>
      </c>
      <c r="N39" s="78"/>
      <c r="O39" s="79">
        <f t="shared" si="11"/>
        <v>34</v>
      </c>
      <c r="Q39" s="80">
        <f t="shared" si="12"/>
        <v>200</v>
      </c>
      <c r="R39" s="80">
        <f t="shared" si="12"/>
        <v>0</v>
      </c>
      <c r="S39" s="80">
        <f t="shared" si="12"/>
        <v>200</v>
      </c>
      <c r="T39" s="105">
        <v>100</v>
      </c>
      <c r="U39" s="106">
        <v>0</v>
      </c>
      <c r="V39" s="107">
        <v>100</v>
      </c>
      <c r="W39" s="108">
        <v>100</v>
      </c>
      <c r="X39" s="106"/>
      <c r="Y39" s="109">
        <v>100</v>
      </c>
    </row>
    <row r="40" spans="1:25" x14ac:dyDescent="0.35">
      <c r="L40" s="51"/>
    </row>
  </sheetData>
  <mergeCells count="13">
    <mergeCell ref="D1:I1"/>
    <mergeCell ref="J1:L1"/>
    <mergeCell ref="M1:O1"/>
    <mergeCell ref="D2:I2"/>
    <mergeCell ref="J2:L2"/>
    <mergeCell ref="M2:O2"/>
    <mergeCell ref="W11:Y11"/>
    <mergeCell ref="G3:I3"/>
    <mergeCell ref="J3:L3"/>
    <mergeCell ref="M3:O3"/>
    <mergeCell ref="D4:F4"/>
    <mergeCell ref="G4:I4"/>
    <mergeCell ref="T11:V1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ทุเรียน100%</vt:lpstr>
      <vt:lpstr>มังคุด100%</vt:lpstr>
      <vt:lpstr>เงาะ100%</vt:lpstr>
      <vt:lpstr>มะม่วง100%</vt:lpstr>
      <vt:lpstr>ลำไย100%</vt:lpstr>
      <vt:lpstr>ลิ้นจี่100%</vt:lpstr>
      <vt:lpstr>ส้ม100%</vt:lpstr>
      <vt:lpstr>มะพร้าว100%</vt:lpstr>
      <vt:lpstr>สับปะรด100%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sainam</cp:lastModifiedBy>
  <cp:lastPrinted>2022-09-14T07:35:19Z</cp:lastPrinted>
  <dcterms:created xsi:type="dcterms:W3CDTF">2022-09-14T03:30:30Z</dcterms:created>
  <dcterms:modified xsi:type="dcterms:W3CDTF">2026-04-09T02:54:44Z</dcterms:modified>
</cp:coreProperties>
</file>